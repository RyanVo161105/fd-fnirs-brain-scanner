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9.xml" ContentType="application/vnd.openxmlformats-officedocument.spreadsheetml.table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tables/table12.xml" ContentType="application/vnd.openxmlformats-officedocument.spreadsheetml.table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tables/table15.xml" ContentType="application/vnd.openxmlformats-officedocument.spreadsheetml.table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tables/table16.xml" ContentType="application/vnd.openxmlformats-officedocument.spreadsheetml.table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tables/table17.xml" ContentType="application/vnd.openxmlformats-officedocument.spreadsheetml.table+xml"/>
  <Override PartName="/xl/charts/chart11.xml" ContentType="application/vnd.openxmlformats-officedocument.drawingml.chart+xml"/>
  <Override PartName="/xl/tables/table18.xml" ContentType="application/vnd.openxmlformats-officedocument.spreadsheetml.table+xml"/>
  <Override PartName="/xl/drawings/drawing12.xml" ContentType="application/vnd.openxmlformats-officedocument.drawing+xml"/>
  <Override PartName="/xl/tables/table19.xml" ContentType="application/vnd.openxmlformats-officedocument.spreadsheetml.table+xml"/>
  <Override PartName="/xl/charts/chart1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/Users/nhath/Downloads/"/>
    </mc:Choice>
  </mc:AlternateContent>
  <xr:revisionPtr revIDLastSave="10" documentId="8_{20F20A9A-2F83-D24E-B498-D04421951D56}" xr6:coauthVersionLast="47" xr6:coauthVersionMax="47" xr10:uidLastSave="{D87F193B-B625-451D-9264-DFED8CB477E9}"/>
  <bookViews>
    <workbookView xWindow="0" yWindow="640" windowWidth="30240" windowHeight="19000" firstSheet="5" activeTab="7" xr2:uid="{00000000-000D-0000-FFFF-FFFF00000000}"/>
  </bookViews>
  <sheets>
    <sheet name="Inputs" sheetId="2" r:id="rId1"/>
    <sheet name="Part 2 Frequency" sheetId="3" r:id="rId2"/>
    <sheet name="Part 3 Tx Power" sheetId="4" r:id="rId3"/>
    <sheet name="Part 4 dBm" sheetId="5" r:id="rId4"/>
    <sheet name="Part 5 Elec Efficiency" sheetId="6" r:id="rId5"/>
    <sheet name="Part 6 Linearity" sheetId="7" r:id="rId6"/>
    <sheet name="Part 7 Attenuation" sheetId="8" r:id="rId7"/>
    <sheet name="Part 8 Tissue Loss" sheetId="9" r:id="rId8"/>
    <sheet name="Part 9 Detected Power" sheetId="10" r:id="rId9"/>
    <sheet name="Part 10 Receiver" sheetId="11" r:id="rId10"/>
    <sheet name="Part 11 SNR" sheetId="12" r:id="rId11"/>
    <sheet name="Part 12 IQ Phase" sheetId="13" r:id="rId12"/>
    <sheet name="Part 13 MBLL" sheetId="14" r:id="rId13"/>
    <sheet name="Part 14 Leakage" sheetId="15" r:id="rId14"/>
    <sheet name="Dashboard" sheetId="16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1" l="1"/>
  <c r="B16" i="11"/>
  <c r="C15" i="11"/>
  <c r="B15" i="11"/>
  <c r="C14" i="11"/>
  <c r="B14" i="11"/>
  <c r="B22" i="2"/>
  <c r="C15" i="2"/>
  <c r="C14" i="2"/>
  <c r="C13" i="2"/>
  <c r="C12" i="2"/>
  <c r="E7" i="2"/>
  <c r="E6" i="2"/>
  <c r="E5" i="2"/>
</calcChain>
</file>

<file path=xl/sharedStrings.xml><?xml version="1.0" encoding="utf-8"?>
<sst xmlns="http://schemas.openxmlformats.org/spreadsheetml/2006/main" count="187" uniqueCount="117">
  <si>
    <t>Inputs</t>
  </si>
  <si>
    <t>Editable constants used by the calculation tables.</t>
  </si>
  <si>
    <t>λ_nm</t>
  </si>
  <si>
    <t>Label</t>
  </si>
  <si>
    <t>PDC_mW</t>
  </si>
  <si>
    <t>ModDepth</t>
  </si>
  <si>
    <t>ΔPopt_mW</t>
  </si>
  <si>
    <t>μeff_cm^-1</t>
  </si>
  <si>
    <t>RD_A/W</t>
  </si>
  <si>
    <t>ZT_Ω</t>
  </si>
  <si>
    <t>RL_Ω</t>
  </si>
  <si>
    <t>Pnoise_2cm_dBm</t>
  </si>
  <si>
    <t>Pnoise_4cm_dBm</t>
  </si>
  <si>
    <t>670 nm</t>
  </si>
  <si>
    <t>780/800 nm</t>
  </si>
  <si>
    <t>850 nm</t>
  </si>
  <si>
    <t>Frequency_MHz</t>
  </si>
  <si>
    <t>Frequency_Hz</t>
  </si>
  <si>
    <t>ω_rad_s</t>
  </si>
  <si>
    <t>Depth_cm</t>
  </si>
  <si>
    <t>I/Q correction</t>
  </si>
  <si>
    <t>Value</t>
  </si>
  <si>
    <t>Conversion_loss_dB</t>
  </si>
  <si>
    <t>Noise_figure_dB</t>
  </si>
  <si>
    <t>Total_IQ_SNR_correction_dB</t>
  </si>
  <si>
    <t>Part 2. Modulation Frequency</t>
  </si>
  <si>
    <t>Formula: ω = 2πf. This table converts frequency to angular frequency.</t>
  </si>
  <si>
    <t>Frequency</t>
  </si>
  <si>
    <t>300 MHz</t>
  </si>
  <si>
    <t>400 MHz</t>
  </si>
  <si>
    <t>500 MHz</t>
  </si>
  <si>
    <t>600 MHz</t>
  </si>
  <si>
    <t>Part 3. Transmitter Optical Power</t>
  </si>
  <si>
    <t>Formulas: ΔPopt = mPDC and Ptx(t,f)=PDC+ΔPopt cos(2πft).</t>
  </si>
  <si>
    <t>Wavelength</t>
  </si>
  <si>
    <t>Ptx waveform</t>
  </si>
  <si>
    <t>1.5+0.30cos(2πft) mW</t>
  </si>
  <si>
    <t>800 nm</t>
  </si>
  <si>
    <t>0.5+0.10cos(2πft) mW</t>
  </si>
  <si>
    <t>2.0+1.00cos(2πft) mW</t>
  </si>
  <si>
    <t>Part 4. Optical Power in dBm</t>
  </si>
  <si>
    <t>Formula: PdBm = 10log10(PmW).</t>
  </si>
  <si>
    <t>PDC_dBm</t>
  </si>
  <si>
    <t>Part 5. Laser Electrical Power and Efficiency</t>
  </si>
  <si>
    <t>Formulas: Pelec=VFIF and η=Poptical/Pelec×100%.</t>
  </si>
  <si>
    <t>VF_V</t>
  </si>
  <si>
    <t>IF_mA</t>
  </si>
  <si>
    <t>Pelec_mW</t>
  </si>
  <si>
    <t>Poptical_mW</t>
  </si>
  <si>
    <t>Efficiency_%</t>
  </si>
  <si>
    <t>Part 6. Laser Current Linearity Check</t>
  </si>
  <si>
    <t>Checks that laser current stays above threshold and below maximum current.</t>
  </si>
  <si>
    <t>Min current_mA</t>
  </si>
  <si>
    <t>Max current_mA</t>
  </si>
  <si>
    <t>Ith_mA</t>
  </si>
  <si>
    <t>Imax_mA</t>
  </si>
  <si>
    <t>Result</t>
  </si>
  <si>
    <t>Pass</t>
  </si>
  <si>
    <t>Part 7. Tissue Effective Attenuation</t>
  </si>
  <si>
    <t>Formula: μeff = sqrt(3μa(μa+μ's)).</t>
  </si>
  <si>
    <t>Part 8. Tissue Loss for 2 cm and 4 cm</t>
  </si>
  <si>
    <t>Formula: Ltissue,dB=4.343μeffd. Chart compares shallow and deeper path loss.</t>
  </si>
  <si>
    <t>Loss_2cm_dB</t>
  </si>
  <si>
    <t>Loss_4cm_dB</t>
  </si>
  <si>
    <t>Extra_loss_dB</t>
  </si>
  <si>
    <t>Part 9. Detected Optical Power</t>
  </si>
  <si>
    <t>Formulas: Pdet,DC=PDCe^(-μeffd), ΔPdet=ΔPopte^(-μeffd).</t>
  </si>
  <si>
    <t>Pdet_DC_2cm_uW</t>
  </si>
  <si>
    <t>ΔPdet_2cm_uW</t>
  </si>
  <si>
    <t>Pdet_DC_4cm_uW</t>
  </si>
  <si>
    <t>ΔPdet_4cm_uW</t>
  </si>
  <si>
    <t>Part 10. Receiver Current, Voltage, and Signal Power</t>
  </si>
  <si>
    <t>Formulas: I=RDPdet, V=IZT, Psig=VAC²/(2RL).</t>
  </si>
  <si>
    <t>Iavg_uA</t>
  </si>
  <si>
    <t>Vout_DC_mV</t>
  </si>
  <si>
    <t>IAC_uA</t>
  </si>
  <si>
    <t>VAC_mV</t>
  </si>
  <si>
    <t>Psig_dBm</t>
  </si>
  <si>
    <t>Psig 2 cm (dBm)</t>
  </si>
  <si>
    <t>Psig 4 cm (dBm)</t>
  </si>
  <si>
    <t>Part 11. Receiver Noise and SNR</t>
  </si>
  <si>
    <t>Formula: SNRdB=Psig,dBm−Pnoise,dBm. Post-IQ subtracts 12 dB.</t>
  </si>
  <si>
    <t>Pnoise_dBm</t>
  </si>
  <si>
    <t>SNR_preIQ_dB</t>
  </si>
  <si>
    <t>SNR_postIQ_dB</t>
  </si>
  <si>
    <t>Part 12. I/Q Demodulation and Phase</t>
  </si>
  <si>
    <t>Formulas: A=sqrt(I²+Q²), φ=tan⁻¹(Q/I). Phase trend estimated using τ=nd/c and φ=2πfτ.</t>
  </si>
  <si>
    <t>Delay_s</t>
  </si>
  <si>
    <t>Phase_rad</t>
  </si>
  <si>
    <t>Phase_deg_unwrapped</t>
  </si>
  <si>
    <t>Phase_deg_mod360</t>
  </si>
  <si>
    <t>Part 13. Optical Density and MBLL</t>
  </si>
  <si>
    <t>Formula: ΔOD=log10(I0/Iλ), then MBLL relates ΔOD to Δ[HbO2] and Δ[Hb].</t>
  </si>
  <si>
    <t>εHbO2</t>
  </si>
  <si>
    <t>εHb</t>
  </si>
  <si>
    <t>780 nm</t>
  </si>
  <si>
    <t>800 nm approximation</t>
  </si>
  <si>
    <t>Part 14. Leakage Location Interpretation</t>
  </si>
  <si>
    <t>Higher absorption increases μeff, increases tissue loss, and lowers detected intensity.</t>
  </si>
  <si>
    <t>Interpretation step</t>
  </si>
  <si>
    <t>Effect</t>
  </si>
  <si>
    <t>Blood leakage increases absorption</t>
  </si>
  <si>
    <t>↑ μa</t>
  </si>
  <si>
    <t>Higher absorption increases attenuation</t>
  </si>
  <si>
    <t>↑ μeff</t>
  </si>
  <si>
    <t>Higher attenuation increases loss</t>
  </si>
  <si>
    <t>↑ Ltissue</t>
  </si>
  <si>
    <t>Higher loss lowers detected intensity</t>
  </si>
  <si>
    <t>↓ Iλ / ↓ Pdet</t>
  </si>
  <si>
    <t>2 cm path</t>
  </si>
  <si>
    <t>Stronger shallow signal</t>
  </si>
  <si>
    <t>4 cm path</t>
  </si>
  <si>
    <t>Weaker deeper signal</t>
  </si>
  <si>
    <t>Dashboard Summary</t>
  </si>
  <si>
    <t>Quick comparison from charted calculation sections.</t>
  </si>
  <si>
    <t>PostIQ_SNR_2cm_dB</t>
  </si>
  <si>
    <t>PostIQ_SNR_4cm_dB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</si>
</sst>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E+00"/>
    <numFmt numFmtId="166" formatCode="0.000000"/>
  </numFmts>
  <fonts count="8">
    <font>
      <sz val="11"/>
      <name val="Carlito"/>
    </font>
    <font>
      <b/>
      <sz val="16"/>
      <color rgb="FFFFFFFF"/>
      <name val="Carlito"/>
    </font>
    <font>
      <i/>
      <sz val="10"/>
      <color rgb="FF475569"/>
      <name val="Carlito"/>
    </font>
    <font>
      <b/>
      <sz val="8"/>
      <color rgb="FFFFFFFF"/>
      <name val="Carlito"/>
    </font>
    <font>
      <b/>
      <sz val="9"/>
      <color rgb="FFFFFFFF"/>
      <name val="Carlito"/>
    </font>
    <font>
      <sz val="9"/>
      <name val="Carlito"/>
    </font>
    <font>
      <sz val="8"/>
      <name val="Carlito"/>
    </font>
    <font>
      <b/>
      <sz val="11"/>
      <color rgb="FF1F4E79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8FAFC"/>
      </patternFill>
    </fill>
    <fill>
      <patternFill patternType="solid">
        <fgColor rgb="FF007C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9" fontId="6" fillId="0" borderId="0" xfId="0" applyNumberFormat="1" applyFont="1" applyAlignment="1">
      <alignment vertical="center" wrapText="1"/>
    </xf>
    <xf numFmtId="164" fontId="6" fillId="0" borderId="0" xfId="0" applyNumberFormat="1" applyFont="1" applyAlignment="1">
      <alignment vertical="center" wrapText="1"/>
    </xf>
    <xf numFmtId="165" fontId="6" fillId="0" borderId="0" xfId="0" applyNumberFormat="1" applyFont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2" fontId="5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PDC_mW</c:v>
          </c:tx>
          <c:invertIfNegative val="1"/>
          <c:cat>
            <c:strRef>
              <c:f>'Part 3 Tx Power'!$A$5:$A$7</c:f>
              <c:strCache>
                <c:ptCount val="3"/>
                <c:pt idx="0">
                  <c:v>670 nm</c:v>
                </c:pt>
                <c:pt idx="1">
                  <c:v>800 nm</c:v>
                </c:pt>
                <c:pt idx="2">
                  <c:v>850 nm</c:v>
                </c:pt>
              </c:strCache>
            </c:strRef>
          </c:cat>
          <c:val>
            <c:numRef>
              <c:f>'Part 3 Tx Power'!$B$5:$B$7</c:f>
              <c:numCache>
                <c:formatCode>General</c:formatCode>
                <c:ptCount val="3"/>
                <c:pt idx="0">
                  <c:v>1.5</c:v>
                </c:pt>
                <c:pt idx="1">
                  <c:v>0.5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0-814D-9501-824D66BD1FCE}"/>
            </c:ext>
          </c:extLst>
        </c:ser>
        <c:ser>
          <c:idx val="1"/>
          <c:order val="1"/>
          <c:tx>
            <c:v>ΔPopt_mW</c:v>
          </c:tx>
          <c:invertIfNegative val="1"/>
          <c:cat>
            <c:strRef>
              <c:f>'Part 3 Tx Power'!$A$5:$A$7</c:f>
              <c:strCache>
                <c:ptCount val="3"/>
                <c:pt idx="0">
                  <c:v>670 nm</c:v>
                </c:pt>
                <c:pt idx="1">
                  <c:v>800 nm</c:v>
                </c:pt>
                <c:pt idx="2">
                  <c:v>850 nm</c:v>
                </c:pt>
              </c:strCache>
            </c:strRef>
          </c:cat>
          <c:val>
            <c:numRef>
              <c:f>'Part 3 Tx Power'!$D$5:$D$7</c:f>
              <c:numCache>
                <c:formatCode>General</c:formatCode>
                <c:ptCount val="3"/>
                <c:pt idx="0">
                  <c:v>0.30000000000000004</c:v>
                </c:pt>
                <c:pt idx="1">
                  <c:v>0.1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D0-814D-9501-824D66BD1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750" b="1"/>
                  <a:t>Power (mW)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PDC_dBm</c:v>
          </c:tx>
          <c:spPr>
            <a:solidFill>
              <a:srgbClr val="156082"/>
            </a:solidFill>
          </c:spPr>
          <c:invertIfNegative val="1"/>
          <c:cat>
            <c:strRef>
              <c:f>'Part 4 dBm'!$A$5:$A$7</c:f>
              <c:strCache>
                <c:ptCount val="3"/>
                <c:pt idx="0">
                  <c:v>670 nm</c:v>
                </c:pt>
                <c:pt idx="1">
                  <c:v>800 nm</c:v>
                </c:pt>
                <c:pt idx="2">
                  <c:v>850 nm</c:v>
                </c:pt>
              </c:strCache>
            </c:strRef>
          </c:cat>
          <c:val>
            <c:numRef>
              <c:f>'Part 4 dBm'!$C$5:$C$7</c:f>
              <c:numCache>
                <c:formatCode>0.00</c:formatCode>
                <c:ptCount val="3"/>
                <c:pt idx="0">
                  <c:v>1.7609125905568124</c:v>
                </c:pt>
                <c:pt idx="1">
                  <c:v>-3.0102999566398121</c:v>
                </c:pt>
                <c:pt idx="2">
                  <c:v>3.0102999566398121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FEDD-4249-BE74-C1BB4DECA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750" b="1"/>
                  <a:t>Power (dBm)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Pelec_mW</c:v>
          </c:tx>
          <c:invertIfNegative val="1"/>
          <c:cat>
            <c:strRef>
              <c:f>'Part 5 Elec Efficiency'!$A$5:$A$7</c:f>
              <c:strCache>
                <c:ptCount val="3"/>
                <c:pt idx="0">
                  <c:v>670 nm</c:v>
                </c:pt>
                <c:pt idx="1">
                  <c:v>800 nm</c:v>
                </c:pt>
                <c:pt idx="2">
                  <c:v>850 nm</c:v>
                </c:pt>
              </c:strCache>
            </c:strRef>
          </c:cat>
          <c:val>
            <c:numRef>
              <c:f>'Part 5 Elec Efficiency'!$D$5:$D$7</c:f>
              <c:numCache>
                <c:formatCode>0.00</c:formatCode>
                <c:ptCount val="3"/>
                <c:pt idx="0">
                  <c:v>8.4</c:v>
                </c:pt>
                <c:pt idx="1">
                  <c:v>9.5</c:v>
                </c:pt>
                <c:pt idx="2">
                  <c:v>11.700000000000001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4D-B24A-B687-5DFCE824132A}"/>
            </c:ext>
          </c:extLst>
        </c:ser>
        <c:ser>
          <c:idx val="1"/>
          <c:order val="1"/>
          <c:tx>
            <c:v>Efficiency_%</c:v>
          </c:tx>
          <c:invertIfNegative val="1"/>
          <c:cat>
            <c:strRef>
              <c:f>'Part 5 Elec Efficiency'!$A$5:$A$7</c:f>
              <c:strCache>
                <c:ptCount val="3"/>
                <c:pt idx="0">
                  <c:v>670 nm</c:v>
                </c:pt>
                <c:pt idx="1">
                  <c:v>800 nm</c:v>
                </c:pt>
                <c:pt idx="2">
                  <c:v>850 nm</c:v>
                </c:pt>
              </c:strCache>
            </c:strRef>
          </c:cat>
          <c:val>
            <c:numRef>
              <c:f>'Part 5 Elec Efficiency'!$F$5:$F$7</c:f>
              <c:numCache>
                <c:formatCode>0.00</c:formatCode>
                <c:ptCount val="3"/>
                <c:pt idx="0">
                  <c:v>17.857142857142858</c:v>
                </c:pt>
                <c:pt idx="1">
                  <c:v>5.2631578947368416</c:v>
                </c:pt>
                <c:pt idx="2">
                  <c:v>17.09401709401709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4D-B24A-B687-5DFCE8241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750" b="1"/>
                  <a:t>mW / percent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Min current_mA</c:v>
          </c:tx>
          <c:invertIfNegative val="1"/>
          <c:cat>
            <c:strRef>
              <c:f>'Part 6 Linearity'!$A$5:$A$7</c:f>
              <c:strCache>
                <c:ptCount val="3"/>
                <c:pt idx="0">
                  <c:v>670 nm</c:v>
                </c:pt>
                <c:pt idx="1">
                  <c:v>800 nm</c:v>
                </c:pt>
                <c:pt idx="2">
                  <c:v>850 nm</c:v>
                </c:pt>
              </c:strCache>
            </c:strRef>
          </c:cat>
          <c:val>
            <c:numRef>
              <c:f>'Part 6 Linearity'!$B$5:$B$7</c:f>
              <c:numCache>
                <c:formatCode>General</c:formatCode>
                <c:ptCount val="3"/>
                <c:pt idx="0">
                  <c:v>4.5</c:v>
                </c:pt>
                <c:pt idx="1">
                  <c:v>4.5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6-DD4F-BA1B-BE19BAF71D5D}"/>
            </c:ext>
          </c:extLst>
        </c:ser>
        <c:ser>
          <c:idx val="1"/>
          <c:order val="1"/>
          <c:tx>
            <c:v>Max current_mA</c:v>
          </c:tx>
          <c:invertIfNegative val="1"/>
          <c:cat>
            <c:strRef>
              <c:f>'Part 6 Linearity'!$A$5:$A$7</c:f>
              <c:strCache>
                <c:ptCount val="3"/>
                <c:pt idx="0">
                  <c:v>670 nm</c:v>
                </c:pt>
                <c:pt idx="1">
                  <c:v>800 nm</c:v>
                </c:pt>
                <c:pt idx="2">
                  <c:v>850 nm</c:v>
                </c:pt>
              </c:strCache>
            </c:strRef>
          </c:cat>
          <c:val>
            <c:numRef>
              <c:f>'Part 6 Linearity'!$C$5:$C$7</c:f>
              <c:numCache>
                <c:formatCode>General</c:formatCode>
                <c:ptCount val="3"/>
                <c:pt idx="0">
                  <c:v>6</c:v>
                </c:pt>
                <c:pt idx="1">
                  <c:v>5.5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76-DD4F-BA1B-BE19BAF71D5D}"/>
            </c:ext>
          </c:extLst>
        </c:ser>
        <c:ser>
          <c:idx val="2"/>
          <c:order val="2"/>
          <c:tx>
            <c:v>Ith_mA</c:v>
          </c:tx>
          <c:invertIfNegative val="1"/>
          <c:cat>
            <c:strRef>
              <c:f>'Part 6 Linearity'!$A$5:$A$7</c:f>
              <c:strCache>
                <c:ptCount val="3"/>
                <c:pt idx="0">
                  <c:v>670 nm</c:v>
                </c:pt>
                <c:pt idx="1">
                  <c:v>800 nm</c:v>
                </c:pt>
                <c:pt idx="2">
                  <c:v>850 nm</c:v>
                </c:pt>
              </c:strCache>
            </c:strRef>
          </c:cat>
          <c:val>
            <c:numRef>
              <c:f>'Part 6 Linearity'!$D$5:$D$7</c:f>
              <c:numCache>
                <c:formatCode>General</c:formatCode>
                <c:ptCount val="3"/>
                <c:pt idx="0">
                  <c:v>3.5</c:v>
                </c:pt>
                <c:pt idx="1">
                  <c:v>4</c:v>
                </c:pt>
                <c:pt idx="2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76-DD4F-BA1B-BE19BAF71D5D}"/>
            </c:ext>
          </c:extLst>
        </c:ser>
        <c:ser>
          <c:idx val="3"/>
          <c:order val="3"/>
          <c:tx>
            <c:v>Imax_mA</c:v>
          </c:tx>
          <c:invertIfNegative val="1"/>
          <c:cat>
            <c:strRef>
              <c:f>'Part 6 Linearity'!$A$5:$A$7</c:f>
              <c:strCache>
                <c:ptCount val="3"/>
                <c:pt idx="0">
                  <c:v>670 nm</c:v>
                </c:pt>
                <c:pt idx="1">
                  <c:v>800 nm</c:v>
                </c:pt>
                <c:pt idx="2">
                  <c:v>850 nm</c:v>
                </c:pt>
              </c:strCache>
            </c:strRef>
          </c:cat>
          <c:val>
            <c:numRef>
              <c:f>'Part 6 Linearity'!$E$5:$E$7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76-DD4F-BA1B-BE19BAF71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750" b="1"/>
                  <a:t>Current (mA)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'Part 7 Attenuation'!$A$5:$A$7</c:f>
              <c:strCache>
                <c:ptCount val="3"/>
                <c:pt idx="0">
                  <c:v>670 nm</c:v>
                </c:pt>
                <c:pt idx="1">
                  <c:v>780/800 nm</c:v>
                </c:pt>
                <c:pt idx="2">
                  <c:v>850 nm</c:v>
                </c:pt>
              </c:strCache>
            </c:strRef>
          </c:cat>
          <c:val>
            <c:numRef>
              <c:f>'Part 7 Attenuation'!$B$5:$B$7</c:f>
              <c:numCache>
                <c:formatCode>General</c:formatCode>
                <c:ptCount val="3"/>
                <c:pt idx="0">
                  <c:v>2.31</c:v>
                </c:pt>
                <c:pt idx="1">
                  <c:v>2.04</c:v>
                </c:pt>
                <c:pt idx="2">
                  <c:v>2.17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8-5947-8942-9EC1AB268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l-GR" sz="750" b="1"/>
                  <a:t>μ</a:t>
                </a:r>
                <a:r>
                  <a:rPr lang="en-US" sz="750" b="1"/>
                  <a:t>eff (cm^-1)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Loss_2cm_dB</c:v>
          </c:tx>
          <c:invertIfNegative val="1"/>
          <c:cat>
            <c:strRef>
              <c:f>'Part 8 Tissue Loss'!$A$5:$A$7</c:f>
              <c:strCache>
                <c:ptCount val="3"/>
                <c:pt idx="0">
                  <c:v>670 nm</c:v>
                </c:pt>
                <c:pt idx="1">
                  <c:v>780/800 nm</c:v>
                </c:pt>
                <c:pt idx="2">
                  <c:v>850 nm</c:v>
                </c:pt>
              </c:strCache>
            </c:strRef>
          </c:cat>
          <c:val>
            <c:numRef>
              <c:f>'Part 8 Tissue Loss'!$C$5:$C$7</c:f>
              <c:numCache>
                <c:formatCode>0.00</c:formatCode>
                <c:ptCount val="3"/>
                <c:pt idx="0">
                  <c:v>20.06466</c:v>
                </c:pt>
                <c:pt idx="1">
                  <c:v>17.719439999999999</c:v>
                </c:pt>
                <c:pt idx="2">
                  <c:v>18.84862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3E-4A4C-83F5-C26E3FC5E587}"/>
            </c:ext>
          </c:extLst>
        </c:ser>
        <c:ser>
          <c:idx val="1"/>
          <c:order val="1"/>
          <c:tx>
            <c:v>Loss_4cm_dB</c:v>
          </c:tx>
          <c:invertIfNegative val="1"/>
          <c:cat>
            <c:strRef>
              <c:f>'Part 8 Tissue Loss'!$A$5:$A$7</c:f>
              <c:strCache>
                <c:ptCount val="3"/>
                <c:pt idx="0">
                  <c:v>670 nm</c:v>
                </c:pt>
                <c:pt idx="1">
                  <c:v>780/800 nm</c:v>
                </c:pt>
                <c:pt idx="2">
                  <c:v>850 nm</c:v>
                </c:pt>
              </c:strCache>
            </c:strRef>
          </c:cat>
          <c:val>
            <c:numRef>
              <c:f>'Part 8 Tissue Loss'!$D$5:$D$7</c:f>
              <c:numCache>
                <c:formatCode>0.00</c:formatCode>
                <c:ptCount val="3"/>
                <c:pt idx="0">
                  <c:v>40.12932</c:v>
                </c:pt>
                <c:pt idx="1">
                  <c:v>35.438879999999997</c:v>
                </c:pt>
                <c:pt idx="2">
                  <c:v>37.697240000000001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3E-4A4C-83F5-C26E3FC5E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750" b="1"/>
                  <a:t>Loss (dB)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Pdet_DC_2cm_uW</c:v>
          </c:tx>
          <c:invertIfNegative val="1"/>
          <c:cat>
            <c:strRef>
              <c:f>'Part 9 Detected Power'!$A$5:$A$7</c:f>
              <c:strCache>
                <c:ptCount val="3"/>
                <c:pt idx="0">
                  <c:v>670 nm</c:v>
                </c:pt>
                <c:pt idx="1">
                  <c:v>800 nm</c:v>
                </c:pt>
                <c:pt idx="2">
                  <c:v>850 nm</c:v>
                </c:pt>
              </c:strCache>
            </c:strRef>
          </c:cat>
          <c:val>
            <c:numRef>
              <c:f>'Part 9 Detected Power'!$B$5:$B$7</c:f>
              <c:numCache>
                <c:formatCode>0.000</c:formatCode>
                <c:ptCount val="3"/>
                <c:pt idx="0">
                  <c:v>14.779194091780886</c:v>
                </c:pt>
                <c:pt idx="1">
                  <c:v>8.4537328263526401</c:v>
                </c:pt>
                <c:pt idx="2">
                  <c:v>26.073056406875473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0-AD47-BBCA-38AFBA94BD8F}"/>
            </c:ext>
          </c:extLst>
        </c:ser>
        <c:ser>
          <c:idx val="1"/>
          <c:order val="1"/>
          <c:tx>
            <c:v>Pdet_DC_4cm_uW</c:v>
          </c:tx>
          <c:invertIfNegative val="1"/>
          <c:cat>
            <c:strRef>
              <c:f>'Part 9 Detected Power'!$A$5:$A$7</c:f>
              <c:strCache>
                <c:ptCount val="3"/>
                <c:pt idx="0">
                  <c:v>670 nm</c:v>
                </c:pt>
                <c:pt idx="1">
                  <c:v>800 nm</c:v>
                </c:pt>
                <c:pt idx="2">
                  <c:v>850 nm</c:v>
                </c:pt>
              </c:strCache>
            </c:strRef>
          </c:cat>
          <c:val>
            <c:numRef>
              <c:f>'Part 9 Detected Power'!$D$5:$D$7</c:f>
              <c:numCache>
                <c:formatCode>0.000</c:formatCode>
                <c:ptCount val="3"/>
                <c:pt idx="0">
                  <c:v>0.14561638533502066</c:v>
                </c:pt>
                <c:pt idx="1">
                  <c:v>0.14293119739870436</c:v>
                </c:pt>
                <c:pt idx="2">
                  <c:v>0.33990213519805501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80-AD47-BBCA-38AFBA94BD8F}"/>
            </c:ext>
          </c:extLst>
        </c:ser>
        <c:ser>
          <c:idx val="2"/>
          <c:order val="2"/>
          <c:tx>
            <c:v>ΔPdet_2cm_uW</c:v>
          </c:tx>
          <c:invertIfNegative val="1"/>
          <c:cat>
            <c:strRef>
              <c:f>'Part 9 Detected Power'!$A$5:$A$7</c:f>
              <c:strCache>
                <c:ptCount val="3"/>
                <c:pt idx="0">
                  <c:v>670 nm</c:v>
                </c:pt>
                <c:pt idx="1">
                  <c:v>800 nm</c:v>
                </c:pt>
                <c:pt idx="2">
                  <c:v>850 nm</c:v>
                </c:pt>
              </c:strCache>
            </c:strRef>
          </c:cat>
          <c:val>
            <c:numRef>
              <c:f>'Part 9 Detected Power'!$C$5:$C$7</c:f>
              <c:numCache>
                <c:formatCode>0.000</c:formatCode>
                <c:ptCount val="3"/>
                <c:pt idx="0">
                  <c:v>2.9558388183561779</c:v>
                </c:pt>
                <c:pt idx="1">
                  <c:v>1.6907465652705278</c:v>
                </c:pt>
                <c:pt idx="2">
                  <c:v>13.036528203437737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80-AD47-BBCA-38AFBA94BD8F}"/>
            </c:ext>
          </c:extLst>
        </c:ser>
        <c:ser>
          <c:idx val="3"/>
          <c:order val="3"/>
          <c:tx>
            <c:v>ΔPdet_4cm_uW</c:v>
          </c:tx>
          <c:invertIfNegative val="1"/>
          <c:cat>
            <c:strRef>
              <c:f>'Part 9 Detected Power'!$A$5:$A$7</c:f>
              <c:strCache>
                <c:ptCount val="3"/>
                <c:pt idx="0">
                  <c:v>670 nm</c:v>
                </c:pt>
                <c:pt idx="1">
                  <c:v>800 nm</c:v>
                </c:pt>
                <c:pt idx="2">
                  <c:v>850 nm</c:v>
                </c:pt>
              </c:strCache>
            </c:strRef>
          </c:cat>
          <c:val>
            <c:numRef>
              <c:f>'Part 9 Detected Power'!$E$5:$E$7</c:f>
              <c:numCache>
                <c:formatCode>0.000</c:formatCode>
                <c:ptCount val="3"/>
                <c:pt idx="0">
                  <c:v>2.9123277067004141E-2</c:v>
                </c:pt>
                <c:pt idx="1">
                  <c:v>2.8586239479740868E-2</c:v>
                </c:pt>
                <c:pt idx="2">
                  <c:v>0.16995106759902751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80-AD47-BBCA-38AFBA94B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750" b="1"/>
                  <a:t>Power (µW)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2 cm</c:v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'Part 10 Receiver'!$A$14:$A$16</c:f>
              <c:strCache>
                <c:ptCount val="3"/>
                <c:pt idx="0">
                  <c:v>670 nm</c:v>
                </c:pt>
                <c:pt idx="1">
                  <c:v>780/800 nm</c:v>
                </c:pt>
                <c:pt idx="2">
                  <c:v>850 nm</c:v>
                </c:pt>
              </c:strCache>
            </c:strRef>
          </c:cat>
          <c:val>
            <c:numRef>
              <c:f>'Part 10 Receiver'!$B$14:$B$16</c:f>
              <c:numCache>
                <c:formatCode>0.00</c:formatCode>
                <c:ptCount val="3"/>
                <c:pt idx="0">
                  <c:v>-46.331707852068185</c:v>
                </c:pt>
                <c:pt idx="1">
                  <c:v>-51.183752541906316</c:v>
                </c:pt>
                <c:pt idx="2">
                  <c:v>-33.442083847803218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D-A140-9F84-C3855729E541}"/>
            </c:ext>
          </c:extLst>
        </c:ser>
        <c:ser>
          <c:idx val="1"/>
          <c:order val="1"/>
          <c:tx>
            <c:v>4 cm</c:v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'Part 10 Receiver'!$A$14:$A$16</c:f>
              <c:strCache>
                <c:ptCount val="3"/>
                <c:pt idx="0">
                  <c:v>670 nm</c:v>
                </c:pt>
                <c:pt idx="1">
                  <c:v>780/800 nm</c:v>
                </c:pt>
                <c:pt idx="2">
                  <c:v>850 nm</c:v>
                </c:pt>
              </c:strCache>
            </c:strRef>
          </c:cat>
          <c:val>
            <c:numRef>
              <c:f>'Part 10 Receiver'!$C$14:$C$16</c:f>
              <c:numCache>
                <c:formatCode>0.00</c:formatCode>
                <c:ptCount val="3"/>
                <c:pt idx="0">
                  <c:v>-86.460517979928653</c:v>
                </c:pt>
                <c:pt idx="1">
                  <c:v>-86.622182265211649</c:v>
                </c:pt>
                <c:pt idx="2">
                  <c:v>-71.138844877005482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3D-A140-9F84-C3855729E5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r>
                  <a:rPr lang="en-US"/>
                  <a:t>Psig (dBm)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SNR_preIQ_dB</c:v>
          </c:tx>
          <c:invertIfNegative val="1"/>
          <c:cat>
            <c:strRef>
              <c:f>'Part 11 SNR'!$A$5:$A$10</c:f>
              <c:strCache>
                <c:ptCount val="6"/>
                <c:pt idx="0">
                  <c:v>670 nm</c:v>
                </c:pt>
                <c:pt idx="1">
                  <c:v>670 nm</c:v>
                </c:pt>
                <c:pt idx="2">
                  <c:v>780/800 nm</c:v>
                </c:pt>
                <c:pt idx="3">
                  <c:v>780/800 nm</c:v>
                </c:pt>
                <c:pt idx="4">
                  <c:v>850 nm</c:v>
                </c:pt>
                <c:pt idx="5">
                  <c:v>850 nm</c:v>
                </c:pt>
              </c:strCache>
            </c:strRef>
          </c:cat>
          <c:val>
            <c:numRef>
              <c:f>'Part 11 SNR'!$E$5:$E$10</c:f>
              <c:numCache>
                <c:formatCode>0.00</c:formatCode>
                <c:ptCount val="6"/>
                <c:pt idx="0">
                  <c:v>89.618292147931811</c:v>
                </c:pt>
                <c:pt idx="1">
                  <c:v>57.169482020071342</c:v>
                </c:pt>
                <c:pt idx="2">
                  <c:v>86.816247458093684</c:v>
                </c:pt>
                <c:pt idx="3">
                  <c:v>57.017817734788338</c:v>
                </c:pt>
                <c:pt idx="4">
                  <c:v>100.11791615219678</c:v>
                </c:pt>
                <c:pt idx="5">
                  <c:v>72.241155122994513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A-7B49-A0F7-CC200530B239}"/>
            </c:ext>
          </c:extLst>
        </c:ser>
        <c:ser>
          <c:idx val="1"/>
          <c:order val="1"/>
          <c:tx>
            <c:v>SNR_postIQ_dB</c:v>
          </c:tx>
          <c:invertIfNegative val="1"/>
          <c:cat>
            <c:strRef>
              <c:f>'Part 11 SNR'!$A$5:$A$10</c:f>
              <c:strCache>
                <c:ptCount val="6"/>
                <c:pt idx="0">
                  <c:v>670 nm</c:v>
                </c:pt>
                <c:pt idx="1">
                  <c:v>670 nm</c:v>
                </c:pt>
                <c:pt idx="2">
                  <c:v>780/800 nm</c:v>
                </c:pt>
                <c:pt idx="3">
                  <c:v>780/800 nm</c:v>
                </c:pt>
                <c:pt idx="4">
                  <c:v>850 nm</c:v>
                </c:pt>
                <c:pt idx="5">
                  <c:v>850 nm</c:v>
                </c:pt>
              </c:strCache>
            </c:strRef>
          </c:cat>
          <c:val>
            <c:numRef>
              <c:f>'Part 11 SNR'!$F$5:$F$10</c:f>
              <c:numCache>
                <c:formatCode>0.00</c:formatCode>
                <c:ptCount val="6"/>
                <c:pt idx="0">
                  <c:v>77.618292147931811</c:v>
                </c:pt>
                <c:pt idx="1">
                  <c:v>45.169482020071342</c:v>
                </c:pt>
                <c:pt idx="2">
                  <c:v>74.816247458093684</c:v>
                </c:pt>
                <c:pt idx="3">
                  <c:v>45.017817734788338</c:v>
                </c:pt>
                <c:pt idx="4">
                  <c:v>88.117916152196784</c:v>
                </c:pt>
                <c:pt idx="5">
                  <c:v>60.241155122994513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CA-7B49-A0F7-CC200530B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750" b="1"/>
                  <a:t>SNR (dB)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Phase_deg_2cm</c:v>
          </c:tx>
          <c:cat>
            <c:numRef>
              <c:f>'Part 12 IQ Phase'!$B$5:$B$8</c:f>
              <c:numCache>
                <c:formatCode>General</c:formatCode>
                <c:ptCount val="4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</c:numCache>
            </c:numRef>
          </c:cat>
          <c:val>
            <c:numRef>
              <c:f>'Part 12 IQ Phase'!$E$5:$E$8</c:f>
              <c:numCache>
                <c:formatCode>0.00</c:formatCode>
                <c:ptCount val="4"/>
                <c:pt idx="0">
                  <c:v>10.079999999999998</c:v>
                </c:pt>
                <c:pt idx="1">
                  <c:v>13.439999999999996</c:v>
                </c:pt>
                <c:pt idx="2">
                  <c:v>16.799999999999997</c:v>
                </c:pt>
                <c:pt idx="3">
                  <c:v>20.159999999999997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B9-1E4B-B757-353FB15E1525}"/>
            </c:ext>
          </c:extLst>
        </c:ser>
        <c:ser>
          <c:idx val="1"/>
          <c:order val="1"/>
          <c:tx>
            <c:v>Phase_deg_4cm</c:v>
          </c:tx>
          <c:cat>
            <c:numRef>
              <c:f>'Part 12 IQ Phase'!$B$5:$B$8</c:f>
              <c:numCache>
                <c:formatCode>General</c:formatCode>
                <c:ptCount val="4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</c:numCache>
            </c:numRef>
          </c:cat>
          <c:val>
            <c:numRef>
              <c:f>'Part 12 IQ Phase'!$E$9:$E$12</c:f>
              <c:numCache>
                <c:formatCode>0.00</c:formatCode>
                <c:ptCount val="4"/>
                <c:pt idx="0">
                  <c:v>20.159999999999997</c:v>
                </c:pt>
                <c:pt idx="1">
                  <c:v>26.879999999999992</c:v>
                </c:pt>
                <c:pt idx="2">
                  <c:v>33.599999999999994</c:v>
                </c:pt>
                <c:pt idx="3">
                  <c:v>40.319999999999993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B9-1E4B-B757-353FB15E1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750" b="1"/>
                  <a:t>Phase (degrees)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'Part 13 MBLL'!$A$5:$A$8</c:f>
              <c:strCache>
                <c:ptCount val="4"/>
                <c:pt idx="0">
                  <c:v>670 nm</c:v>
                </c:pt>
                <c:pt idx="1">
                  <c:v>780 nm</c:v>
                </c:pt>
                <c:pt idx="2">
                  <c:v>850 nm</c:v>
                </c:pt>
                <c:pt idx="3">
                  <c:v>800 nm approximation</c:v>
                </c:pt>
              </c:strCache>
            </c:strRef>
          </c:cat>
          <c:val>
            <c:numRef>
              <c:f>'Part 13 MBLL'!$B$5:$B$8</c:f>
              <c:numCache>
                <c:formatCode>0.000000</c:formatCode>
                <c:ptCount val="4"/>
                <c:pt idx="0">
                  <c:v>2.9399999999999999E-4</c:v>
                </c:pt>
                <c:pt idx="1">
                  <c:v>7.1000000000000002E-4</c:v>
                </c:pt>
                <c:pt idx="2">
                  <c:v>1.0579999999999999E-3</c:v>
                </c:pt>
                <c:pt idx="3">
                  <c:v>8.1599999999999999E-4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4-4445-AE17-ECB6B9AB76CC}"/>
            </c:ext>
          </c:extLst>
        </c:ser>
        <c:ser>
          <c:idx val="1"/>
          <c:order val="1"/>
          <c:invertIfNegative val="1"/>
          <c:cat>
            <c:strRef>
              <c:f>'Part 13 MBLL'!$A$5:$A$8</c:f>
              <c:strCache>
                <c:ptCount val="4"/>
                <c:pt idx="0">
                  <c:v>670 nm</c:v>
                </c:pt>
                <c:pt idx="1">
                  <c:v>780 nm</c:v>
                </c:pt>
                <c:pt idx="2">
                  <c:v>850 nm</c:v>
                </c:pt>
                <c:pt idx="3">
                  <c:v>800 nm approximation</c:v>
                </c:pt>
              </c:strCache>
            </c:strRef>
          </c:cat>
          <c:val>
            <c:numRef>
              <c:f>'Part 13 MBLL'!$C$5:$C$8</c:f>
              <c:numCache>
                <c:formatCode>0.000000</c:formatCode>
                <c:ptCount val="4"/>
                <c:pt idx="0">
                  <c:v>2.7950000000000002E-3</c:v>
                </c:pt>
                <c:pt idx="1">
                  <c:v>1.075E-3</c:v>
                </c:pt>
                <c:pt idx="2">
                  <c:v>6.9099999999999999E-4</c:v>
                </c:pt>
                <c:pt idx="3">
                  <c:v>7.6199999999999998E-4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94-4445-AE17-ECB6B9AB7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750" b="1"/>
                  <a:t>Extinction coefficient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Loss_2cm_dB</c:v>
          </c:tx>
          <c:invertIfNegative val="1"/>
          <c:cat>
            <c:strRef>
              <c:f>Dashboard!$A$5:$A$7</c:f>
              <c:strCache>
                <c:ptCount val="3"/>
                <c:pt idx="0">
                  <c:v>670 nm</c:v>
                </c:pt>
                <c:pt idx="1">
                  <c:v>780/800 nm</c:v>
                </c:pt>
                <c:pt idx="2">
                  <c:v>850 nm</c:v>
                </c:pt>
              </c:strCache>
            </c:strRef>
          </c:cat>
          <c:val>
            <c:numRef>
              <c:f>Dashboard!$B$5:$B$7</c:f>
              <c:numCache>
                <c:formatCode>General</c:formatCode>
                <c:ptCount val="3"/>
                <c:pt idx="0">
                  <c:v>20.06466</c:v>
                </c:pt>
                <c:pt idx="1">
                  <c:v>17.719439999999999</c:v>
                </c:pt>
                <c:pt idx="2">
                  <c:v>18.84862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C-4442-823B-3F3D46D820F5}"/>
            </c:ext>
          </c:extLst>
        </c:ser>
        <c:ser>
          <c:idx val="1"/>
          <c:order val="1"/>
          <c:tx>
            <c:v>Loss_4cm_dB</c:v>
          </c:tx>
          <c:invertIfNegative val="1"/>
          <c:cat>
            <c:strRef>
              <c:f>Dashboard!$A$5:$A$7</c:f>
              <c:strCache>
                <c:ptCount val="3"/>
                <c:pt idx="0">
                  <c:v>670 nm</c:v>
                </c:pt>
                <c:pt idx="1">
                  <c:v>780/800 nm</c:v>
                </c:pt>
                <c:pt idx="2">
                  <c:v>850 nm</c:v>
                </c:pt>
              </c:strCache>
            </c:strRef>
          </c:cat>
          <c:val>
            <c:numRef>
              <c:f>Dashboard!$C$5:$C$7</c:f>
              <c:numCache>
                <c:formatCode>General</c:formatCode>
                <c:ptCount val="3"/>
                <c:pt idx="0">
                  <c:v>40.12932</c:v>
                </c:pt>
                <c:pt idx="1">
                  <c:v>35.438879999999997</c:v>
                </c:pt>
                <c:pt idx="2">
                  <c:v>37.697240000000001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6C-4442-823B-3F3D46D820F5}"/>
            </c:ext>
          </c:extLst>
        </c:ser>
        <c:ser>
          <c:idx val="2"/>
          <c:order val="2"/>
          <c:tx>
            <c:v>PostIQ_SNR_2cm_dB</c:v>
          </c:tx>
          <c:invertIfNegative val="1"/>
          <c:cat>
            <c:strRef>
              <c:f>Dashboard!$A$5:$A$7</c:f>
              <c:strCache>
                <c:ptCount val="3"/>
                <c:pt idx="0">
                  <c:v>670 nm</c:v>
                </c:pt>
                <c:pt idx="1">
                  <c:v>780/800 nm</c:v>
                </c:pt>
                <c:pt idx="2">
                  <c:v>850 nm</c:v>
                </c:pt>
              </c:strCache>
            </c:strRef>
          </c:cat>
          <c:val>
            <c:numRef>
              <c:f>Dashboard!$F$5:$F$7</c:f>
              <c:numCache>
                <c:formatCode>General</c:formatCode>
                <c:ptCount val="3"/>
                <c:pt idx="0">
                  <c:v>77.618292147931811</c:v>
                </c:pt>
                <c:pt idx="1">
                  <c:v>74.816247458093684</c:v>
                </c:pt>
                <c:pt idx="2">
                  <c:v>88.117916152196784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6C-4442-823B-3F3D46D820F5}"/>
            </c:ext>
          </c:extLst>
        </c:ser>
        <c:ser>
          <c:idx val="3"/>
          <c:order val="3"/>
          <c:tx>
            <c:v>PostIQ_SNR_4cm_dB</c:v>
          </c:tx>
          <c:invertIfNegative val="1"/>
          <c:cat>
            <c:strRef>
              <c:f>Dashboard!$A$5:$A$7</c:f>
              <c:strCache>
                <c:ptCount val="3"/>
                <c:pt idx="0">
                  <c:v>670 nm</c:v>
                </c:pt>
                <c:pt idx="1">
                  <c:v>780/800 nm</c:v>
                </c:pt>
                <c:pt idx="2">
                  <c:v>850 nm</c:v>
                </c:pt>
              </c:strCache>
            </c:strRef>
          </c:cat>
          <c:val>
            <c:numRef>
              <c:f>Dashboard!$G$5:$G$7</c:f>
              <c:numCache>
                <c:formatCode>General</c:formatCode>
                <c:ptCount val="3"/>
                <c:pt idx="0">
                  <c:v>45.169482020071342</c:v>
                </c:pt>
                <c:pt idx="1">
                  <c:v>45.017817734788338</c:v>
                </c:pt>
                <c:pt idx="2">
                  <c:v>60.241155122994513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6C-4442-823B-3F3D46D82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750" b="1"/>
                  <a:t>dB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putTable" displayName="InputTable" ref="A4:K7">
  <tableColumns count="11">
    <tableColumn id="1" xr3:uid="{00000000-0010-0000-0100-000001000000}" name="λ_nm"/>
    <tableColumn id="2" xr3:uid="{00000000-0010-0000-0100-000002000000}" name="Label"/>
    <tableColumn id="3" xr3:uid="{00000000-0010-0000-0100-000003000000}" name="PDC_mW"/>
    <tableColumn id="4" xr3:uid="{00000000-0010-0000-0100-000004000000}" name="ModDepth"/>
    <tableColumn id="5" xr3:uid="{00000000-0010-0000-0100-000005000000}" name="ΔPopt_mW"/>
    <tableColumn id="6" xr3:uid="{00000000-0010-0000-0100-000006000000}" name="μeff_cm^-1"/>
    <tableColumn id="7" xr3:uid="{00000000-0010-0000-0100-000007000000}" name="RD_A/W"/>
    <tableColumn id="8" xr3:uid="{00000000-0010-0000-0100-000008000000}" name="ZT_Ω"/>
    <tableColumn id="9" xr3:uid="{00000000-0010-0000-0100-000009000000}" name="RL_Ω"/>
    <tableColumn id="10" xr3:uid="{00000000-0010-0000-0100-00000A000000}" name="Pnoise_2cm_dBm"/>
    <tableColumn id="11" xr3:uid="{00000000-0010-0000-0100-00000B000000}" name="Pnoise_4cm_dB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putFrequencyTable" displayName="InputFrequencyTable" ref="A11:C15">
  <tableColumns count="3">
    <tableColumn id="1" xr3:uid="{00000000-0010-0000-0200-000001000000}" name="Frequency_MHz"/>
    <tableColumn id="2" xr3:uid="{00000000-0010-0000-0200-000002000000}" name="Frequency_Hz"/>
    <tableColumn id="3" xr3:uid="{00000000-0010-0000-0200-000003000000}" name="ω_rad_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putDepthTable" displayName="InputDepthTable" ref="E11:E13">
  <tableColumns count="1">
    <tableColumn id="1" xr3:uid="{00000000-0010-0000-0300-000001000000}" name="Depth_c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putIQTable" displayName="InputIQTable" ref="A19:B22">
  <tableColumns count="2">
    <tableColumn id="1" xr3:uid="{00000000-0010-0000-0400-000001000000}" name="I/Q correction"/>
    <tableColumn id="2" xr3:uid="{00000000-0010-0000-0400-000002000000}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art2FrequencyTable" displayName="Part2FrequencyTable" ref="A4:C8">
  <tableColumns count="3">
    <tableColumn id="1" xr3:uid="{00000000-0010-0000-0500-000001000000}" name="Frequency"/>
    <tableColumn id="2" xr3:uid="{00000000-0010-0000-0500-000002000000}" name="Frequency_Hz"/>
    <tableColumn id="3" xr3:uid="{00000000-0010-0000-0500-000003000000}" name="ω_rad_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art3TxTable" displayName="Part3TxTable" ref="A4:E7">
  <tableColumns count="5">
    <tableColumn id="1" xr3:uid="{00000000-0010-0000-0600-000001000000}" name="Wavelength"/>
    <tableColumn id="2" xr3:uid="{00000000-0010-0000-0600-000002000000}" name="PDC_mW"/>
    <tableColumn id="3" xr3:uid="{00000000-0010-0000-0600-000003000000}" name="ModDepth"/>
    <tableColumn id="4" xr3:uid="{00000000-0010-0000-0600-000004000000}" name="ΔPopt_mW"/>
    <tableColumn id="5" xr3:uid="{00000000-0010-0000-0600-000005000000}" name="Ptx wavefor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art4dBmTable" displayName="Part4dBmTable" ref="A4:C7">
  <tableColumns count="3">
    <tableColumn id="1" xr3:uid="{00000000-0010-0000-0700-000001000000}" name="Wavelength"/>
    <tableColumn id="2" xr3:uid="{00000000-0010-0000-0700-000002000000}" name="PDC_mW"/>
    <tableColumn id="3" xr3:uid="{00000000-0010-0000-0700-000003000000}" name="PDC_dB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art5EfficiencyTable" displayName="Part5EfficiencyTable" ref="A4:F7">
  <tableColumns count="6">
    <tableColumn id="1" xr3:uid="{00000000-0010-0000-0800-000001000000}" name="Wavelength"/>
    <tableColumn id="2" xr3:uid="{00000000-0010-0000-0800-000002000000}" name="VF_V"/>
    <tableColumn id="3" xr3:uid="{00000000-0010-0000-0800-000003000000}" name="IF_mA"/>
    <tableColumn id="4" xr3:uid="{00000000-0010-0000-0800-000004000000}" name="Pelec_mW"/>
    <tableColumn id="5" xr3:uid="{00000000-0010-0000-0800-000005000000}" name="Poptical_mW"/>
    <tableColumn id="6" xr3:uid="{00000000-0010-0000-0800-000006000000}" name="Efficiency_%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art6LinearityTable" displayName="Part6LinearityTable" ref="A4:F7">
  <tableColumns count="6">
    <tableColumn id="1" xr3:uid="{00000000-0010-0000-0900-000001000000}" name="Wavelength"/>
    <tableColumn id="2" xr3:uid="{00000000-0010-0000-0900-000002000000}" name="Min current_mA"/>
    <tableColumn id="3" xr3:uid="{00000000-0010-0000-0900-000003000000}" name="Max current_mA"/>
    <tableColumn id="4" xr3:uid="{00000000-0010-0000-0900-000004000000}" name="Ith_mA"/>
    <tableColumn id="5" xr3:uid="{00000000-0010-0000-0900-000005000000}" name="Imax_mA"/>
    <tableColumn id="6" xr3:uid="{00000000-0010-0000-0900-000006000000}" name="Resul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art7AttenuationTable" displayName="Part7AttenuationTable" ref="A4:B7">
  <tableColumns count="2">
    <tableColumn id="1" xr3:uid="{00000000-0010-0000-0A00-000001000000}" name="Wavelength"/>
    <tableColumn id="2" xr3:uid="{00000000-0010-0000-0A00-000002000000}" name="μeff_cm^-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art8TissueLossTable" displayName="Part8TissueLossTable" ref="A4:E7">
  <tableColumns count="5">
    <tableColumn id="1" xr3:uid="{00000000-0010-0000-0B00-000001000000}" name="Wavelength"/>
    <tableColumn id="2" xr3:uid="{00000000-0010-0000-0B00-000002000000}" name="μeff_cm^-1"/>
    <tableColumn id="3" xr3:uid="{00000000-0010-0000-0B00-000003000000}" name="Loss_2cm_dB"/>
    <tableColumn id="4" xr3:uid="{00000000-0010-0000-0B00-000004000000}" name="Loss_4cm_dB"/>
    <tableColumn id="5" xr3:uid="{00000000-0010-0000-0B00-000005000000}" name="Extra_loss_dB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Part9DetectedPowerTable" displayName="Part9DetectedPowerTable" ref="A4:E7">
  <tableColumns count="5">
    <tableColumn id="1" xr3:uid="{00000000-0010-0000-0C00-000001000000}" name="Wavelength"/>
    <tableColumn id="2" xr3:uid="{00000000-0010-0000-0C00-000002000000}" name="Pdet_DC_2cm_uW"/>
    <tableColumn id="3" xr3:uid="{00000000-0010-0000-0C00-000003000000}" name="ΔPdet_2cm_uW"/>
    <tableColumn id="4" xr3:uid="{00000000-0010-0000-0C00-000004000000}" name="Pdet_DC_4cm_uW"/>
    <tableColumn id="5" xr3:uid="{00000000-0010-0000-0C00-000005000000}" name="ΔPdet_4cm_uW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Part10ReceiverTable" displayName="Part10ReceiverTable" ref="A4:G10">
  <tableColumns count="7">
    <tableColumn id="1" xr3:uid="{00000000-0010-0000-0D00-000001000000}" name="Wavelength"/>
    <tableColumn id="2" xr3:uid="{00000000-0010-0000-0D00-000002000000}" name="Depth_cm"/>
    <tableColumn id="3" xr3:uid="{00000000-0010-0000-0D00-000003000000}" name="Iavg_uA"/>
    <tableColumn id="4" xr3:uid="{00000000-0010-0000-0D00-000004000000}" name="Vout_DC_mV"/>
    <tableColumn id="5" xr3:uid="{00000000-0010-0000-0D00-000005000000}" name="IAC_uA"/>
    <tableColumn id="6" xr3:uid="{00000000-0010-0000-0D00-000006000000}" name="VAC_mV"/>
    <tableColumn id="7" xr3:uid="{00000000-0010-0000-0D00-000007000000}" name="Psig_dB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E000000}" name="Part10ChartData" displayName="Part10ChartData" ref="A13:C16">
  <tableColumns count="3">
    <tableColumn id="1" xr3:uid="{00000000-0010-0000-0E00-000001000000}" name="Wavelength"/>
    <tableColumn id="2" xr3:uid="{00000000-0010-0000-0E00-000002000000}" name="Psig 2 cm (dBm)"/>
    <tableColumn id="3" xr3:uid="{00000000-0010-0000-0E00-000003000000}" name="Psig 4 cm (dBm)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F000000}" name="Part11SNRTable" displayName="Part11SNRTable" ref="A4:F10">
  <tableColumns count="6">
    <tableColumn id="1" xr3:uid="{00000000-0010-0000-0F00-000001000000}" name="Wavelength"/>
    <tableColumn id="2" xr3:uid="{00000000-0010-0000-0F00-000002000000}" name="Depth_cm"/>
    <tableColumn id="3" xr3:uid="{00000000-0010-0000-0F00-000003000000}" name="Pnoise_dBm"/>
    <tableColumn id="4" xr3:uid="{00000000-0010-0000-0F00-000004000000}" name="Psig_dBm"/>
    <tableColumn id="5" xr3:uid="{00000000-0010-0000-0F00-000005000000}" name="SNR_preIQ_dB"/>
    <tableColumn id="6" xr3:uid="{00000000-0010-0000-0F00-000006000000}" name="SNR_postIQ_dB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0000000}" name="Part12IQPhaseTable" displayName="Part12IQPhaseTable" ref="A4:F12">
  <tableColumns count="6">
    <tableColumn id="1" xr3:uid="{00000000-0010-0000-1000-000001000000}" name="Depth_cm"/>
    <tableColumn id="2" xr3:uid="{00000000-0010-0000-1000-000002000000}" name="Frequency_MHz"/>
    <tableColumn id="3" xr3:uid="{00000000-0010-0000-1000-000003000000}" name="Delay_s"/>
    <tableColumn id="4" xr3:uid="{00000000-0010-0000-1000-000004000000}" name="Phase_rad"/>
    <tableColumn id="5" xr3:uid="{00000000-0010-0000-1000-000005000000}" name="Phase_deg_unwrapped"/>
    <tableColumn id="6" xr3:uid="{00000000-0010-0000-1000-000006000000}" name="Phase_deg_mod36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1000000}" name="Part13MBLLTable" displayName="Part13MBLLTable" ref="A4:C8">
  <tableColumns count="3">
    <tableColumn id="1" xr3:uid="{00000000-0010-0000-1100-000001000000}" name="Wavelength"/>
    <tableColumn id="2" xr3:uid="{00000000-0010-0000-1100-000002000000}" name="εHbO2"/>
    <tableColumn id="3" xr3:uid="{00000000-0010-0000-1100-000003000000}" name="εHb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2000000}" name="Part14LeakageTable" displayName="Part14LeakageTable" ref="A4:B10">
  <tableColumns count="2">
    <tableColumn id="1" xr3:uid="{00000000-0010-0000-1200-000001000000}" name="Interpretation step"/>
    <tableColumn id="2" xr3:uid="{00000000-0010-0000-1200-000002000000}" name="Effec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3000000}" name="DashboardTable" displayName="DashboardTable" ref="A4:G7">
  <tableColumns count="7">
    <tableColumn id="1" xr3:uid="{00000000-0010-0000-1300-000001000000}" name="Wavelength"/>
    <tableColumn id="2" xr3:uid="{00000000-0010-0000-1300-000002000000}" name="Loss_2cm_dB"/>
    <tableColumn id="3" xr3:uid="{00000000-0010-0000-1300-000003000000}" name="Loss_4cm_dB"/>
    <tableColumn id="4" xr3:uid="{00000000-0010-0000-1300-000004000000}" name="Pdet_DC_2cm_uW"/>
    <tableColumn id="5" xr3:uid="{00000000-0010-0000-1300-000005000000}" name="Pdet_DC_4cm_uW"/>
    <tableColumn id="6" xr3:uid="{00000000-0010-0000-1300-000006000000}" name="PostIQ_SNR_2cm_dB"/>
    <tableColumn id="7" xr3:uid="{00000000-0010-0000-1300-000007000000}" name="PostIQ_SNR_4cm_d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5"/>
  <sheetViews>
    <sheetView workbookViewId="0"/>
  </sheetViews>
  <sheetFormatPr defaultColWidth="8.875" defaultRowHeight="15"/>
  <cols>
    <col min="1" max="1" width="35.375" customWidth="1"/>
    <col min="2" max="2" width="11" customWidth="1"/>
    <col min="3" max="3" width="8.125" customWidth="1"/>
    <col min="4" max="4" width="9" customWidth="1"/>
    <col min="5" max="6" width="9.5" customWidth="1"/>
    <col min="7" max="7" width="7.875" customWidth="1"/>
    <col min="8" max="8" width="5.625" customWidth="1"/>
    <col min="9" max="9" width="5.875" customWidth="1"/>
    <col min="10" max="11" width="13.125" customWidth="1"/>
  </cols>
  <sheetData>
    <row r="1" spans="1:11" ht="32.1" customHeight="1">
      <c r="A1" s="14" t="s">
        <v>0</v>
      </c>
      <c r="B1" s="15"/>
      <c r="C1" s="15"/>
      <c r="D1" s="15"/>
      <c r="E1" s="15"/>
      <c r="F1" s="15"/>
      <c r="G1" s="15"/>
      <c r="H1" s="15"/>
      <c r="I1" s="17"/>
      <c r="J1" s="17"/>
      <c r="K1" s="17"/>
    </row>
    <row r="2" spans="1:11" ht="39.950000000000003" customHeight="1">
      <c r="A2" s="16" t="s">
        <v>1</v>
      </c>
      <c r="B2" s="15"/>
      <c r="C2" s="15"/>
      <c r="D2" s="15"/>
      <c r="E2" s="15"/>
      <c r="F2" s="15"/>
      <c r="G2" s="15"/>
      <c r="H2" s="15"/>
      <c r="I2" s="17"/>
      <c r="J2" s="17"/>
      <c r="K2" s="17"/>
    </row>
    <row r="3" spans="1:11">
      <c r="A3" s="1"/>
      <c r="B3" s="1"/>
      <c r="C3" s="1"/>
      <c r="D3" s="1"/>
      <c r="E3" s="1"/>
      <c r="F3" s="1"/>
      <c r="G3" s="1"/>
      <c r="H3" s="1"/>
    </row>
    <row r="4" spans="1:11">
      <c r="A4" s="12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2" t="s">
        <v>12</v>
      </c>
    </row>
    <row r="5" spans="1:11">
      <c r="A5" s="3">
        <v>670</v>
      </c>
      <c r="B5" s="3" t="s">
        <v>13</v>
      </c>
      <c r="C5" s="5">
        <v>1.5</v>
      </c>
      <c r="D5" s="5">
        <v>0.2</v>
      </c>
      <c r="E5" s="5">
        <f>C5*D5</f>
        <v>0.30000000000000004</v>
      </c>
      <c r="F5" s="5">
        <v>2.31</v>
      </c>
      <c r="G5" s="5">
        <v>0.65</v>
      </c>
      <c r="H5" s="5">
        <v>794</v>
      </c>
      <c r="I5" s="5">
        <v>50</v>
      </c>
      <c r="J5" s="5">
        <v>-135.94999999999999</v>
      </c>
      <c r="K5" s="5">
        <v>-143.63</v>
      </c>
    </row>
    <row r="6" spans="1:11">
      <c r="A6" s="3">
        <v>780</v>
      </c>
      <c r="B6" s="3" t="s">
        <v>14</v>
      </c>
      <c r="C6" s="5">
        <v>0.5</v>
      </c>
      <c r="D6" s="5">
        <v>0.2</v>
      </c>
      <c r="E6" s="5">
        <f>C6*D6</f>
        <v>0.1</v>
      </c>
      <c r="F6" s="5">
        <v>2.04</v>
      </c>
      <c r="G6" s="5">
        <v>0.65</v>
      </c>
      <c r="H6" s="5">
        <v>794</v>
      </c>
      <c r="I6" s="5">
        <v>50</v>
      </c>
      <c r="J6" s="5">
        <v>-138</v>
      </c>
      <c r="K6" s="5">
        <v>-143.63999999999999</v>
      </c>
    </row>
    <row r="7" spans="1:11">
      <c r="A7" s="3">
        <v>850</v>
      </c>
      <c r="B7" s="3" t="s">
        <v>15</v>
      </c>
      <c r="C7" s="5">
        <v>2</v>
      </c>
      <c r="D7" s="5">
        <v>0.5</v>
      </c>
      <c r="E7" s="5">
        <f>C7*D7</f>
        <v>1</v>
      </c>
      <c r="F7" s="5">
        <v>2.17</v>
      </c>
      <c r="G7" s="5">
        <v>0.65</v>
      </c>
      <c r="H7" s="5">
        <v>794</v>
      </c>
      <c r="I7" s="5">
        <v>50</v>
      </c>
      <c r="J7" s="5">
        <v>-133.56</v>
      </c>
      <c r="K7" s="5">
        <v>-143.38</v>
      </c>
    </row>
    <row r="8" spans="1:11">
      <c r="A8" s="1"/>
      <c r="B8" s="1"/>
      <c r="C8" s="1"/>
      <c r="D8" s="1"/>
      <c r="E8" s="1"/>
      <c r="F8" s="1"/>
      <c r="G8" s="1"/>
      <c r="H8" s="1"/>
    </row>
    <row r="9" spans="1:11">
      <c r="A9" s="1"/>
      <c r="B9" s="1"/>
      <c r="C9" s="1"/>
      <c r="D9" s="1"/>
      <c r="E9" s="1"/>
      <c r="F9" s="1"/>
      <c r="G9" s="1"/>
      <c r="H9" s="1"/>
    </row>
    <row r="10" spans="1:11">
      <c r="A10" s="1"/>
      <c r="B10" s="1"/>
      <c r="C10" s="1"/>
      <c r="D10" s="1"/>
      <c r="E10" s="1"/>
      <c r="F10" s="1"/>
      <c r="G10" s="1"/>
      <c r="H10" s="1"/>
    </row>
    <row r="11" spans="1:11">
      <c r="A11" s="12" t="s">
        <v>16</v>
      </c>
      <c r="B11" s="12" t="s">
        <v>17</v>
      </c>
      <c r="C11" s="12" t="s">
        <v>18</v>
      </c>
      <c r="D11" s="1"/>
      <c r="E11" s="12" t="s">
        <v>19</v>
      </c>
      <c r="F11" s="1"/>
      <c r="G11" s="1"/>
      <c r="H11" s="1"/>
    </row>
    <row r="12" spans="1:11">
      <c r="A12" s="3">
        <v>300</v>
      </c>
      <c r="B12" s="6">
        <v>300000000</v>
      </c>
      <c r="C12" s="6">
        <f>2*PI()*B12</f>
        <v>1884955592.1538758</v>
      </c>
      <c r="D12" s="1"/>
      <c r="E12" s="3">
        <v>2</v>
      </c>
      <c r="F12" s="1"/>
      <c r="G12" s="1"/>
      <c r="H12" s="1"/>
    </row>
    <row r="13" spans="1:11">
      <c r="A13" s="3">
        <v>400</v>
      </c>
      <c r="B13" s="6">
        <v>400000000</v>
      </c>
      <c r="C13" s="6">
        <f>2*PI()*B13</f>
        <v>2513274122.8718343</v>
      </c>
      <c r="D13" s="1"/>
      <c r="E13" s="3">
        <v>4</v>
      </c>
      <c r="F13" s="1"/>
      <c r="G13" s="1"/>
      <c r="H13" s="1"/>
    </row>
    <row r="14" spans="1:11">
      <c r="A14" s="3">
        <v>500</v>
      </c>
      <c r="B14" s="6">
        <v>500000000</v>
      </c>
      <c r="C14" s="6">
        <f>2*PI()*B14</f>
        <v>3141592653.5897932</v>
      </c>
      <c r="D14" s="1"/>
      <c r="E14" s="1"/>
      <c r="F14" s="1"/>
      <c r="G14" s="1"/>
      <c r="H14" s="1"/>
    </row>
    <row r="15" spans="1:11">
      <c r="A15" s="3">
        <v>600</v>
      </c>
      <c r="B15" s="6">
        <v>600000000</v>
      </c>
      <c r="C15" s="6">
        <f>2*PI()*B15</f>
        <v>3769911184.3077517</v>
      </c>
      <c r="D15" s="1"/>
      <c r="E15" s="1"/>
      <c r="F15" s="1"/>
      <c r="G15" s="1"/>
      <c r="H15" s="1"/>
    </row>
    <row r="16" spans="1:11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2" t="s">
        <v>20</v>
      </c>
      <c r="B19" s="12" t="s">
        <v>21</v>
      </c>
      <c r="C19" s="1"/>
      <c r="D19" s="1"/>
      <c r="E19" s="1"/>
      <c r="F19" s="1"/>
      <c r="G19" s="1"/>
      <c r="H19" s="1"/>
    </row>
    <row r="20" spans="1:8">
      <c r="A20" s="3" t="s">
        <v>22</v>
      </c>
      <c r="B20" s="3">
        <v>6</v>
      </c>
      <c r="C20" s="1"/>
      <c r="D20" s="1"/>
      <c r="E20" s="1"/>
      <c r="F20" s="1"/>
      <c r="G20" s="1"/>
      <c r="H20" s="1"/>
    </row>
    <row r="21" spans="1:8">
      <c r="A21" s="3" t="s">
        <v>23</v>
      </c>
      <c r="B21" s="3">
        <v>6</v>
      </c>
      <c r="C21" s="1"/>
      <c r="D21" s="1"/>
      <c r="E21" s="1"/>
      <c r="F21" s="1"/>
      <c r="G21" s="1"/>
      <c r="H21" s="1"/>
    </row>
    <row r="22" spans="1:8">
      <c r="A22" s="3" t="s">
        <v>24</v>
      </c>
      <c r="B22" s="3">
        <f>B20+B21</f>
        <v>12</v>
      </c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</sheetData>
  <mergeCells count="2">
    <mergeCell ref="A1:K1"/>
    <mergeCell ref="A2:K2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workbookViewId="0">
      <selection activeCell="A10" sqref="A10"/>
    </sheetView>
  </sheetViews>
  <sheetFormatPr defaultColWidth="8.875" defaultRowHeight="15"/>
  <cols>
    <col min="1" max="1" width="16" customWidth="1"/>
    <col min="2" max="3" width="18" customWidth="1"/>
  </cols>
  <sheetData>
    <row r="1" spans="1:8" ht="32.1" customHeight="1">
      <c r="A1" s="14" t="s">
        <v>25</v>
      </c>
      <c r="B1" s="15"/>
      <c r="C1" s="15"/>
      <c r="D1" s="15"/>
      <c r="E1" s="1"/>
      <c r="F1" s="1"/>
      <c r="G1" s="1"/>
      <c r="H1" s="1"/>
    </row>
    <row r="2" spans="1:8" ht="39.950000000000003" customHeight="1">
      <c r="A2" s="16" t="s">
        <v>26</v>
      </c>
      <c r="B2" s="15"/>
      <c r="C2" s="15"/>
      <c r="D2" s="15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3" t="s">
        <v>27</v>
      </c>
      <c r="B4" s="13" t="s">
        <v>17</v>
      </c>
      <c r="C4" s="13" t="s">
        <v>18</v>
      </c>
      <c r="D4" s="1"/>
      <c r="E4" s="1"/>
      <c r="F4" s="1"/>
      <c r="G4" s="1"/>
      <c r="H4" s="1"/>
    </row>
    <row r="5" spans="1:8">
      <c r="A5" s="2" t="s">
        <v>28</v>
      </c>
      <c r="B5" s="7">
        <v>300000000</v>
      </c>
      <c r="C5" s="7">
        <v>1884955592.1538758</v>
      </c>
      <c r="D5" s="1"/>
      <c r="E5" s="1"/>
      <c r="F5" s="1"/>
      <c r="G5" s="1"/>
      <c r="H5" s="1"/>
    </row>
    <row r="6" spans="1:8">
      <c r="A6" s="2" t="s">
        <v>29</v>
      </c>
      <c r="B6" s="7">
        <v>400000000</v>
      </c>
      <c r="C6" s="7">
        <v>2513274122.8718348</v>
      </c>
      <c r="D6" s="1"/>
      <c r="E6" s="1"/>
      <c r="F6" s="1"/>
      <c r="G6" s="1"/>
      <c r="H6" s="1"/>
    </row>
    <row r="7" spans="1:8">
      <c r="A7" s="2" t="s">
        <v>30</v>
      </c>
      <c r="B7" s="7">
        <v>500000000</v>
      </c>
      <c r="C7" s="7">
        <v>3141592653.5897927</v>
      </c>
      <c r="D7" s="1"/>
      <c r="E7" s="1"/>
      <c r="F7" s="1"/>
      <c r="G7" s="1"/>
      <c r="H7" s="1"/>
    </row>
    <row r="8" spans="1:8">
      <c r="A8" s="2" t="s">
        <v>31</v>
      </c>
      <c r="B8" s="7">
        <v>600000000</v>
      </c>
      <c r="C8" s="7">
        <v>3769911184.3077517</v>
      </c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8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5"/>
  <sheetViews>
    <sheetView workbookViewId="0">
      <selection activeCell="C7" sqref="C7"/>
    </sheetView>
  </sheetViews>
  <sheetFormatPr defaultColWidth="8.875" defaultRowHeight="15"/>
  <cols>
    <col min="1" max="1" width="43" customWidth="1"/>
    <col min="2" max="2" width="8.125" customWidth="1"/>
    <col min="3" max="3" width="9" customWidth="1"/>
    <col min="4" max="4" width="9.5" customWidth="1"/>
    <col min="5" max="5" width="34" customWidth="1"/>
  </cols>
  <sheetData>
    <row r="1" spans="1:8" ht="32.1" customHeight="1">
      <c r="A1" s="14" t="s">
        <v>32</v>
      </c>
      <c r="B1" s="15"/>
      <c r="C1" s="15"/>
      <c r="D1" s="15"/>
      <c r="E1" s="15"/>
      <c r="F1" s="15"/>
      <c r="G1" s="1"/>
      <c r="H1" s="1"/>
    </row>
    <row r="2" spans="1:8" ht="39.950000000000003" customHeight="1">
      <c r="A2" s="16" t="s">
        <v>33</v>
      </c>
      <c r="B2" s="15"/>
      <c r="C2" s="15"/>
      <c r="D2" s="15"/>
      <c r="E2" s="15"/>
      <c r="F2" s="15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2" t="s">
        <v>34</v>
      </c>
      <c r="B4" s="12" t="s">
        <v>4</v>
      </c>
      <c r="C4" s="12" t="s">
        <v>5</v>
      </c>
      <c r="D4" s="12" t="s">
        <v>6</v>
      </c>
      <c r="E4" s="12" t="s">
        <v>35</v>
      </c>
      <c r="F4" s="1"/>
      <c r="G4" s="1"/>
      <c r="H4" s="1"/>
    </row>
    <row r="5" spans="1:8">
      <c r="A5" s="3" t="s">
        <v>13</v>
      </c>
      <c r="B5" s="3">
        <v>1.5</v>
      </c>
      <c r="C5" s="4">
        <v>0.2</v>
      </c>
      <c r="D5" s="3">
        <v>0.30000000000000004</v>
      </c>
      <c r="E5" s="3" t="s">
        <v>36</v>
      </c>
      <c r="F5" s="1"/>
      <c r="G5" s="1"/>
      <c r="H5" s="1"/>
    </row>
    <row r="6" spans="1:8">
      <c r="A6" s="3" t="s">
        <v>37</v>
      </c>
      <c r="B6" s="3">
        <v>0.5</v>
      </c>
      <c r="C6" s="4">
        <v>0.2</v>
      </c>
      <c r="D6" s="3">
        <v>0.1</v>
      </c>
      <c r="E6" s="3" t="s">
        <v>38</v>
      </c>
      <c r="F6" s="1"/>
      <c r="G6" s="1"/>
      <c r="H6" s="1"/>
    </row>
    <row r="7" spans="1:8">
      <c r="A7" s="3" t="s">
        <v>15</v>
      </c>
      <c r="B7" s="3">
        <v>2</v>
      </c>
      <c r="C7" s="4">
        <v>0.5</v>
      </c>
      <c r="D7" s="3">
        <v>1</v>
      </c>
      <c r="E7" s="3" t="s">
        <v>39</v>
      </c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</sheetData>
  <mergeCells count="2">
    <mergeCell ref="A1:F1"/>
    <mergeCell ref="A2:F2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5"/>
  <sheetViews>
    <sheetView topLeftCell="A2" workbookViewId="0">
      <selection activeCell="K18" sqref="K18"/>
    </sheetView>
  </sheetViews>
  <sheetFormatPr defaultColWidth="8.875" defaultRowHeight="15"/>
  <cols>
    <col min="1" max="1" width="34" customWidth="1"/>
    <col min="2" max="2" width="8.875" customWidth="1"/>
    <col min="3" max="3" width="9.375" customWidth="1"/>
  </cols>
  <sheetData>
    <row r="1" spans="1:8" ht="32.1" customHeight="1">
      <c r="A1" s="14" t="s">
        <v>40</v>
      </c>
      <c r="B1" s="15"/>
      <c r="C1" s="15"/>
      <c r="D1" s="15"/>
      <c r="E1" s="1"/>
      <c r="F1" s="1"/>
      <c r="G1" s="1"/>
      <c r="H1" s="1"/>
    </row>
    <row r="2" spans="1:8" ht="39.950000000000003" customHeight="1">
      <c r="A2" s="16" t="s">
        <v>41</v>
      </c>
      <c r="B2" s="15"/>
      <c r="C2" s="15"/>
      <c r="D2" s="15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3" t="s">
        <v>34</v>
      </c>
      <c r="B4" s="13" t="s">
        <v>4</v>
      </c>
      <c r="C4" s="13" t="s">
        <v>42</v>
      </c>
      <c r="D4" s="1"/>
      <c r="E4" s="1"/>
      <c r="F4" s="1"/>
      <c r="G4" s="1"/>
      <c r="H4" s="1"/>
    </row>
    <row r="5" spans="1:8">
      <c r="A5" s="2" t="s">
        <v>13</v>
      </c>
      <c r="B5" s="9">
        <v>1.5</v>
      </c>
      <c r="C5" s="9">
        <v>1.7609125905568124</v>
      </c>
      <c r="D5" s="1"/>
      <c r="E5" s="1"/>
      <c r="F5" s="1"/>
      <c r="G5" s="1"/>
      <c r="H5" s="1"/>
    </row>
    <row r="6" spans="1:8">
      <c r="A6" s="2" t="s">
        <v>37</v>
      </c>
      <c r="B6" s="9">
        <v>0.5</v>
      </c>
      <c r="C6" s="9">
        <v>-3.0102999566398121</v>
      </c>
      <c r="D6" s="1"/>
      <c r="E6" s="1"/>
      <c r="F6" s="1"/>
      <c r="G6" s="1"/>
      <c r="H6" s="1"/>
    </row>
    <row r="7" spans="1:8">
      <c r="A7" s="2" t="s">
        <v>15</v>
      </c>
      <c r="B7" s="9">
        <v>2</v>
      </c>
      <c r="C7" s="9">
        <v>3.0102999566398121</v>
      </c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</sheetData>
  <mergeCells count="2">
    <mergeCell ref="A1:D1"/>
    <mergeCell ref="A2:D2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5"/>
  <sheetViews>
    <sheetView workbookViewId="0">
      <selection activeCell="A30" sqref="A30"/>
    </sheetView>
  </sheetViews>
  <sheetFormatPr defaultColWidth="8.875" defaultRowHeight="15"/>
  <cols>
    <col min="1" max="1" width="51.375" customWidth="1"/>
    <col min="2" max="2" width="5.625" customWidth="1"/>
    <col min="3" max="3" width="6.5" customWidth="1"/>
    <col min="4" max="4" width="8.875" customWidth="1"/>
    <col min="5" max="5" width="10.625" customWidth="1"/>
    <col min="6" max="6" width="10" customWidth="1"/>
  </cols>
  <sheetData>
    <row r="1" spans="1:8" ht="32.1" customHeight="1">
      <c r="A1" s="14" t="s">
        <v>43</v>
      </c>
      <c r="B1" s="15"/>
      <c r="C1" s="15"/>
      <c r="D1" s="15"/>
      <c r="E1" s="15"/>
      <c r="F1" s="15"/>
      <c r="G1" s="15"/>
      <c r="H1" s="1"/>
    </row>
    <row r="2" spans="1:8" ht="39.950000000000003" customHeight="1">
      <c r="A2" s="16" t="s">
        <v>44</v>
      </c>
      <c r="B2" s="15"/>
      <c r="C2" s="15"/>
      <c r="D2" s="15"/>
      <c r="E2" s="15"/>
      <c r="F2" s="15"/>
      <c r="G2" s="15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2" t="s">
        <v>34</v>
      </c>
      <c r="B4" s="12" t="s">
        <v>45</v>
      </c>
      <c r="C4" s="12" t="s">
        <v>46</v>
      </c>
      <c r="D4" s="12" t="s">
        <v>47</v>
      </c>
      <c r="E4" s="12" t="s">
        <v>48</v>
      </c>
      <c r="F4" s="12" t="s">
        <v>49</v>
      </c>
      <c r="G4" s="1"/>
      <c r="H4" s="1"/>
    </row>
    <row r="5" spans="1:8">
      <c r="A5" s="3" t="s">
        <v>13</v>
      </c>
      <c r="B5" s="10">
        <v>2.1</v>
      </c>
      <c r="C5" s="10">
        <v>4</v>
      </c>
      <c r="D5" s="10">
        <v>8.4</v>
      </c>
      <c r="E5" s="10">
        <v>1.5</v>
      </c>
      <c r="F5" s="10">
        <v>17.857142857142858</v>
      </c>
      <c r="G5" s="1"/>
      <c r="H5" s="1"/>
    </row>
    <row r="6" spans="1:8">
      <c r="A6" s="3" t="s">
        <v>37</v>
      </c>
      <c r="B6" s="10">
        <v>1.9</v>
      </c>
      <c r="C6" s="10">
        <v>5</v>
      </c>
      <c r="D6" s="10">
        <v>9.5</v>
      </c>
      <c r="E6" s="10">
        <v>0.5</v>
      </c>
      <c r="F6" s="10">
        <v>5.2631578947368416</v>
      </c>
      <c r="G6" s="1"/>
      <c r="H6" s="1"/>
    </row>
    <row r="7" spans="1:8">
      <c r="A7" s="3" t="s">
        <v>15</v>
      </c>
      <c r="B7" s="10">
        <v>1.8</v>
      </c>
      <c r="C7" s="10">
        <v>6.5</v>
      </c>
      <c r="D7" s="10">
        <v>11.700000000000001</v>
      </c>
      <c r="E7" s="10">
        <v>2</v>
      </c>
      <c r="F7" s="10">
        <v>17.09401709401709</v>
      </c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</sheetData>
  <mergeCells count="2">
    <mergeCell ref="A1:G1"/>
    <mergeCell ref="A2:G2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5"/>
  <sheetViews>
    <sheetView workbookViewId="0">
      <selection activeCell="A6" sqref="A6"/>
    </sheetView>
  </sheetViews>
  <sheetFormatPr defaultColWidth="8.875" defaultRowHeight="15"/>
  <cols>
    <col min="1" max="1" width="55.875" customWidth="1"/>
    <col min="2" max="2" width="12.375" customWidth="1"/>
    <col min="3" max="3" width="12.625" customWidth="1"/>
    <col min="4" max="4" width="7" customWidth="1"/>
    <col min="5" max="5" width="8.125" customWidth="1"/>
    <col min="6" max="6" width="6.375" customWidth="1"/>
  </cols>
  <sheetData>
    <row r="1" spans="1:8" ht="32.1" customHeight="1">
      <c r="A1" s="14" t="s">
        <v>50</v>
      </c>
      <c r="B1" s="15"/>
      <c r="C1" s="15"/>
      <c r="D1" s="15"/>
      <c r="E1" s="15"/>
      <c r="F1" s="15"/>
      <c r="G1" s="15"/>
      <c r="H1" s="1"/>
    </row>
    <row r="2" spans="1:8" ht="39.950000000000003" customHeight="1">
      <c r="A2" s="16" t="s">
        <v>51</v>
      </c>
      <c r="B2" s="15"/>
      <c r="C2" s="15"/>
      <c r="D2" s="15"/>
      <c r="E2" s="15"/>
      <c r="F2" s="15"/>
      <c r="G2" s="15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2" t="s">
        <v>34</v>
      </c>
      <c r="B4" s="12" t="s">
        <v>52</v>
      </c>
      <c r="C4" s="12" t="s">
        <v>53</v>
      </c>
      <c r="D4" s="12" t="s">
        <v>54</v>
      </c>
      <c r="E4" s="12" t="s">
        <v>55</v>
      </c>
      <c r="F4" s="12" t="s">
        <v>56</v>
      </c>
      <c r="G4" s="1"/>
      <c r="H4" s="1"/>
    </row>
    <row r="5" spans="1:8">
      <c r="A5" s="3" t="s">
        <v>13</v>
      </c>
      <c r="B5" s="3">
        <v>4.5</v>
      </c>
      <c r="C5" s="3">
        <v>6</v>
      </c>
      <c r="D5" s="3">
        <v>3.5</v>
      </c>
      <c r="E5" s="3">
        <v>7</v>
      </c>
      <c r="F5" s="3" t="s">
        <v>57</v>
      </c>
      <c r="G5" s="1"/>
      <c r="H5" s="1"/>
    </row>
    <row r="6" spans="1:8">
      <c r="A6" s="3" t="s">
        <v>37</v>
      </c>
      <c r="B6" s="3">
        <v>4.5</v>
      </c>
      <c r="C6" s="3">
        <v>5.5</v>
      </c>
      <c r="D6" s="3">
        <v>4</v>
      </c>
      <c r="E6" s="3">
        <v>8</v>
      </c>
      <c r="F6" s="3" t="s">
        <v>57</v>
      </c>
      <c r="G6" s="1"/>
      <c r="H6" s="1"/>
    </row>
    <row r="7" spans="1:8">
      <c r="A7" s="3" t="s">
        <v>15</v>
      </c>
      <c r="B7" s="3">
        <v>4</v>
      </c>
      <c r="C7" s="3">
        <v>9</v>
      </c>
      <c r="D7" s="3">
        <v>1.5</v>
      </c>
      <c r="E7" s="3">
        <v>12</v>
      </c>
      <c r="F7" s="3" t="s">
        <v>57</v>
      </c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</sheetData>
  <mergeCells count="2">
    <mergeCell ref="A1:G1"/>
    <mergeCell ref="A2:G2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5"/>
  <sheetViews>
    <sheetView workbookViewId="0">
      <selection activeCell="J24" sqref="J24"/>
    </sheetView>
  </sheetViews>
  <sheetFormatPr defaultColWidth="8.875" defaultRowHeight="15"/>
  <cols>
    <col min="1" max="1" width="41.375" customWidth="1"/>
    <col min="2" max="2" width="10.125" customWidth="1"/>
  </cols>
  <sheetData>
    <row r="1" spans="1:8" ht="32.1" customHeight="1">
      <c r="A1" s="14" t="s">
        <v>58</v>
      </c>
      <c r="B1" s="15"/>
      <c r="C1" s="15"/>
      <c r="D1" s="15"/>
      <c r="E1" s="1"/>
      <c r="F1" s="1"/>
      <c r="G1" s="1"/>
      <c r="H1" s="1"/>
    </row>
    <row r="2" spans="1:8" ht="39.950000000000003" customHeight="1">
      <c r="A2" s="16" t="s">
        <v>59</v>
      </c>
      <c r="B2" s="15"/>
      <c r="C2" s="15"/>
      <c r="D2" s="15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3" t="s">
        <v>34</v>
      </c>
      <c r="B4" s="13" t="s">
        <v>7</v>
      </c>
      <c r="C4" s="1"/>
      <c r="D4" s="1"/>
      <c r="E4" s="1"/>
      <c r="F4" s="1"/>
      <c r="G4" s="1"/>
      <c r="H4" s="1"/>
    </row>
    <row r="5" spans="1:8">
      <c r="A5" s="2" t="s">
        <v>13</v>
      </c>
      <c r="B5" s="2">
        <v>2.31</v>
      </c>
      <c r="C5" s="1"/>
      <c r="D5" s="1"/>
      <c r="E5" s="1"/>
      <c r="F5" s="1"/>
      <c r="G5" s="1"/>
      <c r="H5" s="1"/>
    </row>
    <row r="6" spans="1:8">
      <c r="A6" s="2" t="s">
        <v>14</v>
      </c>
      <c r="B6" s="2">
        <v>2.04</v>
      </c>
      <c r="C6" s="1"/>
      <c r="D6" s="1"/>
      <c r="E6" s="1"/>
      <c r="F6" s="1"/>
      <c r="G6" s="1"/>
      <c r="H6" s="1"/>
    </row>
    <row r="7" spans="1:8">
      <c r="A7" s="2" t="s">
        <v>15</v>
      </c>
      <c r="B7" s="2">
        <v>2.17</v>
      </c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</sheetData>
  <mergeCells count="2">
    <mergeCell ref="A1:D1"/>
    <mergeCell ref="A2:D2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abSelected="1" workbookViewId="0">
      <selection sqref="A1:F1"/>
    </sheetView>
  </sheetViews>
  <sheetFormatPr defaultColWidth="8.875" defaultRowHeight="15"/>
  <cols>
    <col min="1" max="1" width="57" customWidth="1"/>
    <col min="2" max="2" width="9.5" customWidth="1"/>
    <col min="3" max="4" width="10.625" customWidth="1"/>
    <col min="5" max="5" width="10.875" customWidth="1"/>
  </cols>
  <sheetData>
    <row r="1" spans="1:8" ht="32.1" customHeight="1">
      <c r="A1" s="14" t="s">
        <v>60</v>
      </c>
      <c r="B1" s="15"/>
      <c r="C1" s="15"/>
      <c r="D1" s="15"/>
      <c r="E1" s="15"/>
      <c r="F1" s="15"/>
      <c r="G1" s="1"/>
      <c r="H1" s="1"/>
    </row>
    <row r="2" spans="1:8" ht="39.950000000000003" customHeight="1">
      <c r="A2" s="16" t="s">
        <v>61</v>
      </c>
      <c r="B2" s="15"/>
      <c r="C2" s="15"/>
      <c r="D2" s="15"/>
      <c r="E2" s="15"/>
      <c r="F2" s="15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2" t="s">
        <v>34</v>
      </c>
      <c r="B4" s="12" t="s">
        <v>7</v>
      </c>
      <c r="C4" s="12" t="s">
        <v>62</v>
      </c>
      <c r="D4" s="12" t="s">
        <v>63</v>
      </c>
      <c r="E4" s="12" t="s">
        <v>64</v>
      </c>
      <c r="F4" s="1"/>
      <c r="G4" s="1"/>
      <c r="H4" s="1"/>
    </row>
    <row r="5" spans="1:8">
      <c r="A5" s="3" t="s">
        <v>13</v>
      </c>
      <c r="B5" s="10">
        <v>2.31</v>
      </c>
      <c r="C5" s="10">
        <v>20.06466</v>
      </c>
      <c r="D5" s="10">
        <v>40.12932</v>
      </c>
      <c r="E5" s="10">
        <v>20.06466</v>
      </c>
      <c r="F5" s="1"/>
      <c r="G5" s="1"/>
      <c r="H5" s="1"/>
    </row>
    <row r="6" spans="1:8">
      <c r="A6" s="3" t="s">
        <v>14</v>
      </c>
      <c r="B6" s="10">
        <v>2.04</v>
      </c>
      <c r="C6" s="10">
        <v>17.719439999999999</v>
      </c>
      <c r="D6" s="10">
        <v>35.438879999999997</v>
      </c>
      <c r="E6" s="10">
        <v>17.719439999999999</v>
      </c>
      <c r="F6" s="1"/>
      <c r="G6" s="1"/>
      <c r="H6" s="1"/>
    </row>
    <row r="7" spans="1:8">
      <c r="A7" s="3" t="s">
        <v>15</v>
      </c>
      <c r="B7" s="10">
        <v>2.17</v>
      </c>
      <c r="C7" s="10">
        <v>18.84862</v>
      </c>
      <c r="D7" s="10">
        <v>37.697240000000001</v>
      </c>
      <c r="E7" s="10">
        <v>18.84862</v>
      </c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</sheetData>
  <mergeCells count="2">
    <mergeCell ref="A1:F1"/>
    <mergeCell ref="A2:F2"/>
  </mergeCells>
  <conditionalFormatting sqref="C5:E7">
    <cfRule type="colorScale" priority="1">
      <colorScale>
        <cfvo type="min"/>
        <cfvo type="percentile" val="50"/>
        <cfvo type="max"/>
        <color rgb="FFDCFCE7"/>
        <color rgb="FFFEF3C7"/>
        <color rgb="FFFEE2E2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5"/>
  <sheetViews>
    <sheetView workbookViewId="0">
      <selection activeCell="M27" sqref="M27"/>
    </sheetView>
  </sheetViews>
  <sheetFormatPr defaultColWidth="8.875" defaultRowHeight="15"/>
  <cols>
    <col min="1" max="1" width="42.375" customWidth="1"/>
    <col min="2" max="2" width="13.625" customWidth="1"/>
    <col min="3" max="3" width="12.125" customWidth="1"/>
    <col min="4" max="4" width="13.625" customWidth="1"/>
    <col min="5" max="5" width="12.125" customWidth="1"/>
  </cols>
  <sheetData>
    <row r="1" spans="1:8" ht="32.1" customHeight="1">
      <c r="A1" s="14" t="s">
        <v>65</v>
      </c>
      <c r="B1" s="15"/>
      <c r="C1" s="15"/>
      <c r="D1" s="15"/>
      <c r="E1" s="15"/>
      <c r="F1" s="15"/>
      <c r="G1" s="1"/>
      <c r="H1" s="1"/>
    </row>
    <row r="2" spans="1:8" ht="39.950000000000003" customHeight="1">
      <c r="A2" s="16" t="s">
        <v>66</v>
      </c>
      <c r="B2" s="15"/>
      <c r="C2" s="15"/>
      <c r="D2" s="15"/>
      <c r="E2" s="15"/>
      <c r="F2" s="15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2" t="s">
        <v>34</v>
      </c>
      <c r="B4" s="12" t="s">
        <v>67</v>
      </c>
      <c r="C4" s="12" t="s">
        <v>68</v>
      </c>
      <c r="D4" s="12" t="s">
        <v>69</v>
      </c>
      <c r="E4" s="12" t="s">
        <v>70</v>
      </c>
      <c r="F4" s="1"/>
      <c r="G4" s="1"/>
      <c r="H4" s="1"/>
    </row>
    <row r="5" spans="1:8">
      <c r="A5" s="3" t="s">
        <v>13</v>
      </c>
      <c r="B5" s="5">
        <v>14.779194091780886</v>
      </c>
      <c r="C5" s="5">
        <v>2.9558388183561779</v>
      </c>
      <c r="D5" s="5">
        <v>0.14561638533502066</v>
      </c>
      <c r="E5" s="5">
        <v>2.9123277067004141E-2</v>
      </c>
      <c r="F5" s="1"/>
      <c r="G5" s="1"/>
      <c r="H5" s="1"/>
    </row>
    <row r="6" spans="1:8">
      <c r="A6" s="3" t="s">
        <v>37</v>
      </c>
      <c r="B6" s="5">
        <v>8.4537328263526401</v>
      </c>
      <c r="C6" s="5">
        <v>1.6907465652705278</v>
      </c>
      <c r="D6" s="5">
        <v>0.14293119739870436</v>
      </c>
      <c r="E6" s="5">
        <v>2.8586239479740868E-2</v>
      </c>
      <c r="F6" s="1"/>
      <c r="G6" s="1"/>
      <c r="H6" s="1"/>
    </row>
    <row r="7" spans="1:8">
      <c r="A7" s="3" t="s">
        <v>15</v>
      </c>
      <c r="B7" s="5">
        <v>26.073056406875473</v>
      </c>
      <c r="C7" s="5">
        <v>13.036528203437737</v>
      </c>
      <c r="D7" s="5">
        <v>0.33990213519805501</v>
      </c>
      <c r="E7" s="5">
        <v>0.16995106759902751</v>
      </c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</sheetData>
  <mergeCells count="2">
    <mergeCell ref="A1:F1"/>
    <mergeCell ref="A2:F2"/>
  </mergeCells>
  <conditionalFormatting sqref="B5:E7">
    <cfRule type="colorScale" priority="1">
      <colorScale>
        <cfvo type="min"/>
        <cfvo type="percentile" val="50"/>
        <cfvo type="max"/>
        <color rgb="FFE0F2FE"/>
        <color rgb="FFFEF3C7"/>
        <color rgb="FFDCFCE7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3"/>
  <sheetViews>
    <sheetView topLeftCell="A6" workbookViewId="0">
      <selection activeCell="J36" sqref="J36"/>
    </sheetView>
  </sheetViews>
  <sheetFormatPr defaultColWidth="8.875" defaultRowHeight="15"/>
  <cols>
    <col min="1" max="1" width="18" customWidth="1"/>
    <col min="2" max="3" width="16" customWidth="1"/>
    <col min="4" max="7" width="14" customWidth="1"/>
  </cols>
  <sheetData>
    <row r="1" spans="1:8" ht="32.1" customHeight="1">
      <c r="A1" s="14" t="s">
        <v>71</v>
      </c>
      <c r="B1" s="15"/>
      <c r="C1" s="15"/>
      <c r="D1" s="15"/>
      <c r="E1" s="15"/>
      <c r="F1" s="15"/>
      <c r="G1" s="15"/>
      <c r="H1" s="15"/>
    </row>
    <row r="2" spans="1:8" ht="39.950000000000003" customHeight="1">
      <c r="A2" s="16" t="s">
        <v>72</v>
      </c>
      <c r="B2" s="15"/>
      <c r="C2" s="15"/>
      <c r="D2" s="15"/>
      <c r="E2" s="15"/>
      <c r="F2" s="15"/>
      <c r="G2" s="15"/>
      <c r="H2" s="15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2" t="s">
        <v>34</v>
      </c>
      <c r="B4" s="12" t="s">
        <v>19</v>
      </c>
      <c r="C4" s="12" t="s">
        <v>73</v>
      </c>
      <c r="D4" s="12" t="s">
        <v>74</v>
      </c>
      <c r="E4" s="12" t="s">
        <v>75</v>
      </c>
      <c r="F4" s="12" t="s">
        <v>76</v>
      </c>
      <c r="G4" s="12" t="s">
        <v>77</v>
      </c>
      <c r="H4" s="1"/>
    </row>
    <row r="5" spans="1:8">
      <c r="A5" s="3" t="s">
        <v>13</v>
      </c>
      <c r="B5" s="3">
        <v>2</v>
      </c>
      <c r="C5" s="5">
        <v>9.6064761596575767</v>
      </c>
      <c r="D5" s="5">
        <v>7.6275420707681167</v>
      </c>
      <c r="E5" s="5">
        <v>1.9212952319315157</v>
      </c>
      <c r="F5" s="5">
        <v>1.5255084141536233</v>
      </c>
      <c r="G5" s="5">
        <v>-46.331707852068185</v>
      </c>
      <c r="H5" s="1"/>
    </row>
    <row r="6" spans="1:8">
      <c r="A6" s="3" t="s">
        <v>13</v>
      </c>
      <c r="B6" s="3">
        <v>4</v>
      </c>
      <c r="C6" s="5">
        <v>9.4650650467763442E-2</v>
      </c>
      <c r="D6" s="5">
        <v>7.5152616471404171E-2</v>
      </c>
      <c r="E6" s="5">
        <v>1.8930130093552693E-2</v>
      </c>
      <c r="F6" s="5">
        <v>1.5030523294280838E-2</v>
      </c>
      <c r="G6" s="5">
        <v>-86.460517979928653</v>
      </c>
      <c r="H6" s="1"/>
    </row>
    <row r="7" spans="1:8">
      <c r="A7" s="3" t="s">
        <v>14</v>
      </c>
      <c r="B7" s="3">
        <v>2</v>
      </c>
      <c r="C7" s="5">
        <v>5.4949263371292165</v>
      </c>
      <c r="D7" s="5">
        <v>4.3629715116805974</v>
      </c>
      <c r="E7" s="5">
        <v>1.0989852674258431</v>
      </c>
      <c r="F7" s="5">
        <v>0.87259430233611945</v>
      </c>
      <c r="G7" s="5">
        <v>-51.183752541906316</v>
      </c>
      <c r="H7" s="1"/>
    </row>
    <row r="8" spans="1:8">
      <c r="A8" s="3" t="s">
        <v>14</v>
      </c>
      <c r="B8" s="3">
        <v>4</v>
      </c>
      <c r="C8" s="5">
        <v>9.2905278309157832E-2</v>
      </c>
      <c r="D8" s="5">
        <v>7.3766790977471311E-2</v>
      </c>
      <c r="E8" s="5">
        <v>1.8581055661831564E-2</v>
      </c>
      <c r="F8" s="5">
        <v>1.4753358195494261E-2</v>
      </c>
      <c r="G8" s="5">
        <v>-86.622182265211649</v>
      </c>
      <c r="H8" s="1"/>
    </row>
    <row r="9" spans="1:8">
      <c r="A9" s="3" t="s">
        <v>15</v>
      </c>
      <c r="B9" s="3">
        <v>2</v>
      </c>
      <c r="C9" s="5">
        <v>16.947486664469057</v>
      </c>
      <c r="D9" s="5">
        <v>13.456304411588432</v>
      </c>
      <c r="E9" s="5">
        <v>8.4737433322345286</v>
      </c>
      <c r="F9" s="5">
        <v>6.728152205794216</v>
      </c>
      <c r="G9" s="5">
        <v>-33.442083847803218</v>
      </c>
      <c r="H9" s="1"/>
    </row>
    <row r="10" spans="1:8">
      <c r="A10" s="3" t="s">
        <v>15</v>
      </c>
      <c r="B10" s="3">
        <v>4</v>
      </c>
      <c r="C10" s="5">
        <v>0.22093638787873576</v>
      </c>
      <c r="D10" s="5">
        <v>0.17542349197571622</v>
      </c>
      <c r="E10" s="5">
        <v>0.11046819393936788</v>
      </c>
      <c r="F10" s="5">
        <v>8.7711745987858108E-2</v>
      </c>
      <c r="G10" s="5">
        <v>-71.138844877005482</v>
      </c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2" t="s">
        <v>34</v>
      </c>
      <c r="B13" s="12" t="s">
        <v>78</v>
      </c>
      <c r="C13" s="12" t="s">
        <v>79</v>
      </c>
      <c r="D13" s="1"/>
      <c r="E13" s="1"/>
      <c r="F13" s="1"/>
      <c r="G13" s="1"/>
      <c r="H13" s="1"/>
    </row>
    <row r="14" spans="1:8">
      <c r="A14" s="3" t="s">
        <v>13</v>
      </c>
      <c r="B14" s="10">
        <f>'Part 10 Receiver'!G5</f>
        <v>-46.331707852068185</v>
      </c>
      <c r="C14" s="10">
        <f>'Part 10 Receiver'!G6</f>
        <v>-86.460517979928653</v>
      </c>
      <c r="D14" s="1"/>
      <c r="E14" s="1"/>
      <c r="F14" s="1"/>
      <c r="G14" s="1"/>
      <c r="H14" s="1"/>
    </row>
    <row r="15" spans="1:8">
      <c r="A15" s="3" t="s">
        <v>14</v>
      </c>
      <c r="B15" s="10">
        <f>'Part 10 Receiver'!G7</f>
        <v>-51.183752541906316</v>
      </c>
      <c r="C15" s="10">
        <f>'Part 10 Receiver'!G8</f>
        <v>-86.622182265211649</v>
      </c>
      <c r="D15" s="1"/>
      <c r="E15" s="1"/>
      <c r="F15" s="1"/>
      <c r="G15" s="1"/>
      <c r="H15" s="1"/>
    </row>
    <row r="16" spans="1:8">
      <c r="A16" s="3" t="s">
        <v>15</v>
      </c>
      <c r="B16" s="10">
        <f>'Part 10 Receiver'!G9</f>
        <v>-33.442083847803218</v>
      </c>
      <c r="C16" s="10">
        <f>'Part 10 Receiver'!G10</f>
        <v>-71.138844877005482</v>
      </c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</sheetData>
  <mergeCells count="2">
    <mergeCell ref="A1:H1"/>
    <mergeCell ref="A2:H2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5"/>
  <sheetViews>
    <sheetView workbookViewId="0">
      <selection sqref="A1:G1"/>
    </sheetView>
  </sheetViews>
  <sheetFormatPr defaultColWidth="8.875" defaultRowHeight="15"/>
  <cols>
    <col min="1" max="1" width="46.875" customWidth="1"/>
    <col min="2" max="2" width="8.625" customWidth="1"/>
    <col min="3" max="3" width="10.125" customWidth="1"/>
    <col min="4" max="4" width="8.5" customWidth="1"/>
    <col min="5" max="5" width="11.5" customWidth="1"/>
    <col min="6" max="6" width="12" customWidth="1"/>
  </cols>
  <sheetData>
    <row r="1" spans="1:8" ht="32.1" customHeight="1">
      <c r="A1" s="14" t="s">
        <v>80</v>
      </c>
      <c r="B1" s="15"/>
      <c r="C1" s="15"/>
      <c r="D1" s="15"/>
      <c r="E1" s="15"/>
      <c r="F1" s="15"/>
      <c r="G1" s="15"/>
      <c r="H1" s="1"/>
    </row>
    <row r="2" spans="1:8" ht="39.950000000000003" customHeight="1">
      <c r="A2" s="16" t="s">
        <v>81</v>
      </c>
      <c r="B2" s="15"/>
      <c r="C2" s="15"/>
      <c r="D2" s="15"/>
      <c r="E2" s="15"/>
      <c r="F2" s="15"/>
      <c r="G2" s="15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2" t="s">
        <v>34</v>
      </c>
      <c r="B4" s="12" t="s">
        <v>19</v>
      </c>
      <c r="C4" s="12" t="s">
        <v>82</v>
      </c>
      <c r="D4" s="12" t="s">
        <v>77</v>
      </c>
      <c r="E4" s="12" t="s">
        <v>83</v>
      </c>
      <c r="F4" s="12" t="s">
        <v>84</v>
      </c>
      <c r="G4" s="1"/>
      <c r="H4" s="1"/>
    </row>
    <row r="5" spans="1:8">
      <c r="A5" s="3" t="s">
        <v>13</v>
      </c>
      <c r="B5" s="3">
        <v>2</v>
      </c>
      <c r="C5" s="10">
        <v>-135.94999999999999</v>
      </c>
      <c r="D5" s="10">
        <v>-46.331707852068185</v>
      </c>
      <c r="E5" s="10">
        <v>89.618292147931811</v>
      </c>
      <c r="F5" s="10">
        <v>77.618292147931811</v>
      </c>
      <c r="G5" s="1"/>
      <c r="H5" s="1"/>
    </row>
    <row r="6" spans="1:8">
      <c r="A6" s="3" t="s">
        <v>13</v>
      </c>
      <c r="B6" s="3">
        <v>4</v>
      </c>
      <c r="C6" s="10">
        <v>-143.63</v>
      </c>
      <c r="D6" s="10">
        <v>-86.460517979928653</v>
      </c>
      <c r="E6" s="10">
        <v>57.169482020071342</v>
      </c>
      <c r="F6" s="10">
        <v>45.169482020071342</v>
      </c>
      <c r="G6" s="1"/>
      <c r="H6" s="1"/>
    </row>
    <row r="7" spans="1:8">
      <c r="A7" s="3" t="s">
        <v>14</v>
      </c>
      <c r="B7" s="3">
        <v>2</v>
      </c>
      <c r="C7" s="10">
        <v>-138</v>
      </c>
      <c r="D7" s="10">
        <v>-51.183752541906316</v>
      </c>
      <c r="E7" s="10">
        <v>86.816247458093684</v>
      </c>
      <c r="F7" s="10">
        <v>74.816247458093684</v>
      </c>
      <c r="G7" s="1"/>
      <c r="H7" s="1"/>
    </row>
    <row r="8" spans="1:8">
      <c r="A8" s="3" t="s">
        <v>14</v>
      </c>
      <c r="B8" s="3">
        <v>4</v>
      </c>
      <c r="C8" s="10">
        <v>-143.63999999999999</v>
      </c>
      <c r="D8" s="10">
        <v>-86.622182265211649</v>
      </c>
      <c r="E8" s="10">
        <v>57.017817734788338</v>
      </c>
      <c r="F8" s="10">
        <v>45.017817734788338</v>
      </c>
      <c r="G8" s="1"/>
      <c r="H8" s="1"/>
    </row>
    <row r="9" spans="1:8">
      <c r="A9" s="3" t="s">
        <v>15</v>
      </c>
      <c r="B9" s="3">
        <v>2</v>
      </c>
      <c r="C9" s="10">
        <v>-133.56</v>
      </c>
      <c r="D9" s="10">
        <v>-33.442083847803218</v>
      </c>
      <c r="E9" s="10">
        <v>100.11791615219678</v>
      </c>
      <c r="F9" s="10">
        <v>88.117916152196784</v>
      </c>
      <c r="G9" s="1"/>
      <c r="H9" s="1"/>
    </row>
    <row r="10" spans="1:8">
      <c r="A10" s="3" t="s">
        <v>15</v>
      </c>
      <c r="B10" s="3">
        <v>4</v>
      </c>
      <c r="C10" s="10">
        <v>-143.38</v>
      </c>
      <c r="D10" s="10">
        <v>-71.138844877005482</v>
      </c>
      <c r="E10" s="10">
        <v>72.241155122994513</v>
      </c>
      <c r="F10" s="10">
        <v>60.241155122994513</v>
      </c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</sheetData>
  <mergeCells count="2">
    <mergeCell ref="A1:G1"/>
    <mergeCell ref="A2:G2"/>
  </mergeCells>
  <conditionalFormatting sqref="F5:F10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5"/>
  <sheetViews>
    <sheetView workbookViewId="0">
      <selection sqref="A1:G1"/>
    </sheetView>
  </sheetViews>
  <sheetFormatPr defaultColWidth="8.875" defaultRowHeight="15"/>
  <cols>
    <col min="1" max="1" width="63" customWidth="1"/>
    <col min="2" max="2" width="12.125" customWidth="1"/>
    <col min="3" max="3" width="7.375" customWidth="1"/>
    <col min="4" max="4" width="8.875" customWidth="1"/>
    <col min="5" max="5" width="16.5" customWidth="1"/>
    <col min="6" max="6" width="14.625" customWidth="1"/>
  </cols>
  <sheetData>
    <row r="1" spans="1:8" ht="32.1" customHeight="1">
      <c r="A1" s="14" t="s">
        <v>85</v>
      </c>
      <c r="B1" s="15"/>
      <c r="C1" s="15"/>
      <c r="D1" s="15"/>
      <c r="E1" s="15"/>
      <c r="F1" s="15"/>
      <c r="G1" s="15"/>
      <c r="H1" s="1"/>
    </row>
    <row r="2" spans="1:8" ht="39.950000000000003" customHeight="1">
      <c r="A2" s="16" t="s">
        <v>86</v>
      </c>
      <c r="B2" s="15"/>
      <c r="C2" s="15"/>
      <c r="D2" s="15"/>
      <c r="E2" s="15"/>
      <c r="F2" s="15"/>
      <c r="G2" s="15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2" t="s">
        <v>19</v>
      </c>
      <c r="B4" s="12" t="s">
        <v>16</v>
      </c>
      <c r="C4" s="12" t="s">
        <v>87</v>
      </c>
      <c r="D4" s="12" t="s">
        <v>88</v>
      </c>
      <c r="E4" s="12" t="s">
        <v>89</v>
      </c>
      <c r="F4" s="12" t="s">
        <v>90</v>
      </c>
      <c r="G4" s="1"/>
      <c r="H4" s="1"/>
    </row>
    <row r="5" spans="1:8">
      <c r="A5" s="3">
        <v>2</v>
      </c>
      <c r="B5" s="3">
        <v>300</v>
      </c>
      <c r="C5" s="6">
        <v>9.3333333333333321E-11</v>
      </c>
      <c r="D5" s="10">
        <v>0.17592918860102838</v>
      </c>
      <c r="E5" s="10">
        <v>10.079999999999998</v>
      </c>
      <c r="F5" s="10">
        <v>10.079999999999998</v>
      </c>
      <c r="G5" s="1"/>
      <c r="H5" s="1"/>
    </row>
    <row r="6" spans="1:8">
      <c r="A6" s="3">
        <v>2</v>
      </c>
      <c r="B6" s="3">
        <v>400</v>
      </c>
      <c r="C6" s="6">
        <v>9.3333333333333321E-11</v>
      </c>
      <c r="D6" s="10">
        <v>0.23457225146803784</v>
      </c>
      <c r="E6" s="10">
        <v>13.439999999999996</v>
      </c>
      <c r="F6" s="10">
        <v>13.439999999999996</v>
      </c>
      <c r="G6" s="1"/>
      <c r="H6" s="1"/>
    </row>
    <row r="7" spans="1:8">
      <c r="A7" s="3">
        <v>2</v>
      </c>
      <c r="B7" s="3">
        <v>500</v>
      </c>
      <c r="C7" s="6">
        <v>9.3333333333333321E-11</v>
      </c>
      <c r="D7" s="10">
        <v>0.29321531433504733</v>
      </c>
      <c r="E7" s="10">
        <v>16.799999999999997</v>
      </c>
      <c r="F7" s="10">
        <v>16.799999999999997</v>
      </c>
      <c r="G7" s="1"/>
      <c r="H7" s="1"/>
    </row>
    <row r="8" spans="1:8">
      <c r="A8" s="3">
        <v>2</v>
      </c>
      <c r="B8" s="3">
        <v>600</v>
      </c>
      <c r="C8" s="6">
        <v>9.3333333333333321E-11</v>
      </c>
      <c r="D8" s="10">
        <v>0.35185837720205676</v>
      </c>
      <c r="E8" s="10">
        <v>20.159999999999997</v>
      </c>
      <c r="F8" s="10">
        <v>20.159999999999997</v>
      </c>
      <c r="G8" s="1"/>
      <c r="H8" s="1"/>
    </row>
    <row r="9" spans="1:8">
      <c r="A9" s="3">
        <v>4</v>
      </c>
      <c r="B9" s="3">
        <v>300</v>
      </c>
      <c r="C9" s="6">
        <v>1.8666666666666664E-10</v>
      </c>
      <c r="D9" s="10">
        <v>0.35185837720205676</v>
      </c>
      <c r="E9" s="10">
        <v>20.159999999999997</v>
      </c>
      <c r="F9" s="10">
        <v>20.159999999999997</v>
      </c>
      <c r="G9" s="1"/>
      <c r="H9" s="1"/>
    </row>
    <row r="10" spans="1:8">
      <c r="A10" s="3">
        <v>4</v>
      </c>
      <c r="B10" s="3">
        <v>400</v>
      </c>
      <c r="C10" s="6">
        <v>1.8666666666666664E-10</v>
      </c>
      <c r="D10" s="10">
        <v>0.46914450293607568</v>
      </c>
      <c r="E10" s="10">
        <v>26.879999999999992</v>
      </c>
      <c r="F10" s="10">
        <v>26.879999999999992</v>
      </c>
      <c r="G10" s="1"/>
      <c r="H10" s="1"/>
    </row>
    <row r="11" spans="1:8">
      <c r="A11" s="3">
        <v>4</v>
      </c>
      <c r="B11" s="3">
        <v>500</v>
      </c>
      <c r="C11" s="6">
        <v>1.8666666666666664E-10</v>
      </c>
      <c r="D11" s="10">
        <v>0.58643062867009466</v>
      </c>
      <c r="E11" s="10">
        <v>33.599999999999994</v>
      </c>
      <c r="F11" s="10">
        <v>33.599999999999994</v>
      </c>
      <c r="G11" s="1"/>
      <c r="H11" s="1"/>
    </row>
    <row r="12" spans="1:8">
      <c r="A12" s="3">
        <v>4</v>
      </c>
      <c r="B12" s="3">
        <v>600</v>
      </c>
      <c r="C12" s="6">
        <v>1.8666666666666664E-10</v>
      </c>
      <c r="D12" s="10">
        <v>0.70371675440411352</v>
      </c>
      <c r="E12" s="10">
        <v>40.319999999999993</v>
      </c>
      <c r="F12" s="10">
        <v>40.319999999999993</v>
      </c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</sheetData>
  <mergeCells count="2">
    <mergeCell ref="A1:G1"/>
    <mergeCell ref="A2:G2"/>
  </mergeCells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5"/>
  <sheetViews>
    <sheetView topLeftCell="A17" workbookViewId="0">
      <selection activeCell="C8" sqref="C8"/>
    </sheetView>
  </sheetViews>
  <sheetFormatPr defaultColWidth="8.875" defaultRowHeight="15"/>
  <cols>
    <col min="1" max="1" width="53.875" customWidth="1"/>
    <col min="2" max="2" width="6.625" customWidth="1"/>
    <col min="3" max="3" width="6.5" customWidth="1"/>
  </cols>
  <sheetData>
    <row r="1" spans="1:8" ht="32.1" customHeight="1">
      <c r="A1" s="14" t="s">
        <v>91</v>
      </c>
      <c r="B1" s="15"/>
      <c r="C1" s="15"/>
      <c r="D1" s="15"/>
      <c r="E1" s="1"/>
      <c r="F1" s="1"/>
      <c r="G1" s="1"/>
      <c r="H1" s="1"/>
    </row>
    <row r="2" spans="1:8" ht="39.950000000000003" customHeight="1">
      <c r="A2" s="16" t="s">
        <v>92</v>
      </c>
      <c r="B2" s="15"/>
      <c r="C2" s="15"/>
      <c r="D2" s="15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2" t="s">
        <v>34</v>
      </c>
      <c r="B4" s="12" t="s">
        <v>93</v>
      </c>
      <c r="C4" s="12" t="s">
        <v>94</v>
      </c>
      <c r="D4" s="1"/>
      <c r="E4" s="1"/>
      <c r="F4" s="1"/>
      <c r="G4" s="1"/>
      <c r="H4" s="1"/>
    </row>
    <row r="5" spans="1:8">
      <c r="A5" s="3" t="s">
        <v>13</v>
      </c>
      <c r="B5" s="11">
        <v>2.9399999999999999E-4</v>
      </c>
      <c r="C5" s="11">
        <v>2.7950000000000002E-3</v>
      </c>
      <c r="D5" s="1"/>
      <c r="E5" s="1"/>
      <c r="F5" s="1"/>
      <c r="G5" s="1"/>
      <c r="H5" s="1"/>
    </row>
    <row r="6" spans="1:8">
      <c r="A6" s="3" t="s">
        <v>95</v>
      </c>
      <c r="B6" s="11">
        <v>7.1000000000000002E-4</v>
      </c>
      <c r="C6" s="11">
        <v>1.075E-3</v>
      </c>
      <c r="D6" s="1"/>
      <c r="E6" s="1"/>
      <c r="F6" s="1"/>
      <c r="G6" s="1"/>
      <c r="H6" s="1"/>
    </row>
    <row r="7" spans="1:8">
      <c r="A7" s="3" t="s">
        <v>15</v>
      </c>
      <c r="B7" s="11">
        <v>1.0579999999999999E-3</v>
      </c>
      <c r="C7" s="11">
        <v>6.9099999999999999E-4</v>
      </c>
      <c r="D7" s="1"/>
      <c r="E7" s="1"/>
      <c r="F7" s="1"/>
      <c r="G7" s="1"/>
      <c r="H7" s="1"/>
    </row>
    <row r="8" spans="1:8">
      <c r="A8" s="3" t="s">
        <v>96</v>
      </c>
      <c r="B8" s="11">
        <v>8.1599999999999999E-4</v>
      </c>
      <c r="C8" s="11">
        <v>7.6199999999999998E-4</v>
      </c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</sheetData>
  <mergeCells count="2">
    <mergeCell ref="A1:D1"/>
    <mergeCell ref="A2:D2"/>
  </mergeCells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5"/>
  <sheetViews>
    <sheetView workbookViewId="0">
      <selection sqref="A1:D1"/>
    </sheetView>
  </sheetViews>
  <sheetFormatPr defaultColWidth="8.875" defaultRowHeight="15"/>
  <cols>
    <col min="1" max="1" width="40" customWidth="1"/>
    <col min="2" max="2" width="35" customWidth="1"/>
  </cols>
  <sheetData>
    <row r="1" spans="1:8" ht="32.1" customHeight="1">
      <c r="A1" s="14" t="s">
        <v>97</v>
      </c>
      <c r="B1" s="15"/>
      <c r="C1" s="15"/>
      <c r="D1" s="15"/>
      <c r="E1" s="1"/>
      <c r="F1" s="1"/>
      <c r="G1" s="1"/>
      <c r="H1" s="1"/>
    </row>
    <row r="2" spans="1:8" ht="39.950000000000003" customHeight="1">
      <c r="A2" s="16" t="s">
        <v>98</v>
      </c>
      <c r="B2" s="15"/>
      <c r="C2" s="15"/>
      <c r="D2" s="15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2" t="s">
        <v>99</v>
      </c>
      <c r="B4" s="12" t="s">
        <v>100</v>
      </c>
      <c r="C4" s="1"/>
      <c r="D4" s="1"/>
      <c r="E4" s="1"/>
      <c r="F4" s="1"/>
      <c r="G4" s="1"/>
      <c r="H4" s="1"/>
    </row>
    <row r="5" spans="1:8">
      <c r="A5" s="3" t="s">
        <v>101</v>
      </c>
      <c r="B5" s="3" t="s">
        <v>102</v>
      </c>
      <c r="C5" s="1"/>
      <c r="D5" s="1"/>
      <c r="E5" s="1"/>
      <c r="F5" s="1"/>
      <c r="G5" s="1"/>
      <c r="H5" s="1"/>
    </row>
    <row r="6" spans="1:8">
      <c r="A6" s="3" t="s">
        <v>103</v>
      </c>
      <c r="B6" s="3" t="s">
        <v>104</v>
      </c>
      <c r="C6" s="1"/>
      <c r="D6" s="1"/>
      <c r="E6" s="1"/>
      <c r="F6" s="1"/>
      <c r="G6" s="1"/>
      <c r="H6" s="1"/>
    </row>
    <row r="7" spans="1:8">
      <c r="A7" s="3" t="s">
        <v>105</v>
      </c>
      <c r="B7" s="3" t="s">
        <v>106</v>
      </c>
      <c r="C7" s="1"/>
      <c r="D7" s="1"/>
      <c r="E7" s="1"/>
      <c r="F7" s="1"/>
      <c r="G7" s="1"/>
      <c r="H7" s="1"/>
    </row>
    <row r="8" spans="1:8">
      <c r="A8" s="3" t="s">
        <v>107</v>
      </c>
      <c r="B8" s="3" t="s">
        <v>108</v>
      </c>
      <c r="C8" s="1"/>
      <c r="D8" s="1"/>
      <c r="E8" s="1"/>
      <c r="F8" s="1"/>
      <c r="G8" s="1"/>
      <c r="H8" s="1"/>
    </row>
    <row r="9" spans="1:8">
      <c r="A9" s="3" t="s">
        <v>109</v>
      </c>
      <c r="B9" s="3" t="s">
        <v>110</v>
      </c>
      <c r="C9" s="1"/>
      <c r="D9" s="1"/>
      <c r="E9" s="1"/>
      <c r="F9" s="1"/>
      <c r="G9" s="1"/>
      <c r="H9" s="1"/>
    </row>
    <row r="10" spans="1:8">
      <c r="A10" s="3" t="s">
        <v>111</v>
      </c>
      <c r="B10" s="3" t="s">
        <v>112</v>
      </c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5"/>
  <sheetViews>
    <sheetView topLeftCell="A3" workbookViewId="0">
      <selection sqref="A1:G1"/>
    </sheetView>
  </sheetViews>
  <sheetFormatPr defaultColWidth="8.875" defaultRowHeight="15"/>
  <cols>
    <col min="1" max="1" width="37.875" customWidth="1"/>
    <col min="2" max="3" width="10.625" customWidth="1"/>
    <col min="4" max="5" width="13.625" customWidth="1"/>
    <col min="6" max="7" width="15.125" customWidth="1"/>
  </cols>
  <sheetData>
    <row r="1" spans="1:8" ht="32.1" customHeight="1">
      <c r="A1" s="14" t="s">
        <v>113</v>
      </c>
      <c r="B1" s="15"/>
      <c r="C1" s="15"/>
      <c r="D1" s="15"/>
      <c r="E1" s="15"/>
      <c r="F1" s="15"/>
      <c r="G1" s="15"/>
      <c r="H1" s="1"/>
    </row>
    <row r="2" spans="1:8" ht="39.950000000000003" customHeight="1">
      <c r="A2" s="16" t="s">
        <v>114</v>
      </c>
      <c r="B2" s="15"/>
      <c r="C2" s="15"/>
      <c r="D2" s="15"/>
      <c r="E2" s="15"/>
      <c r="F2" s="15"/>
      <c r="G2" s="15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2" t="s">
        <v>34</v>
      </c>
      <c r="B4" s="12" t="s">
        <v>62</v>
      </c>
      <c r="C4" s="12" t="s">
        <v>63</v>
      </c>
      <c r="D4" s="12" t="s">
        <v>67</v>
      </c>
      <c r="E4" s="12" t="s">
        <v>69</v>
      </c>
      <c r="F4" s="12" t="s">
        <v>115</v>
      </c>
      <c r="G4" s="12" t="s">
        <v>116</v>
      </c>
      <c r="H4" s="1"/>
    </row>
    <row r="5" spans="1:8">
      <c r="A5" s="3" t="s">
        <v>13</v>
      </c>
      <c r="B5" s="3">
        <v>20.06466</v>
      </c>
      <c r="C5" s="3">
        <v>40.12932</v>
      </c>
      <c r="D5" s="3">
        <v>14.779194091780886</v>
      </c>
      <c r="E5" s="3">
        <v>0.14561638533502066</v>
      </c>
      <c r="F5" s="3">
        <v>77.618292147931811</v>
      </c>
      <c r="G5" s="3">
        <v>45.169482020071342</v>
      </c>
      <c r="H5" s="1"/>
    </row>
    <row r="6" spans="1:8">
      <c r="A6" s="3" t="s">
        <v>14</v>
      </c>
      <c r="B6" s="3">
        <v>17.719439999999999</v>
      </c>
      <c r="C6" s="3">
        <v>35.438879999999997</v>
      </c>
      <c r="D6" s="3">
        <v>8.4537328263526401</v>
      </c>
      <c r="E6" s="3">
        <v>0.14293119739870436</v>
      </c>
      <c r="F6" s="3">
        <v>74.816247458093684</v>
      </c>
      <c r="G6" s="3">
        <v>45.017817734788338</v>
      </c>
      <c r="H6" s="1"/>
    </row>
    <row r="7" spans="1:8">
      <c r="A7" s="3" t="s">
        <v>15</v>
      </c>
      <c r="B7" s="3">
        <v>18.84862</v>
      </c>
      <c r="C7" s="3">
        <v>37.697240000000001</v>
      </c>
      <c r="D7" s="3">
        <v>26.073056406875473</v>
      </c>
      <c r="E7" s="3">
        <v>0.33990213519805501</v>
      </c>
      <c r="F7" s="3">
        <v>88.117916152196784</v>
      </c>
      <c r="G7" s="3">
        <v>60.241155122994513</v>
      </c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</sheetData>
  <mergeCells count="2">
    <mergeCell ref="A1:G1"/>
    <mergeCell ref="A2:G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Huynh,Nathan</cp:lastModifiedBy>
  <cp:revision/>
  <dcterms:created xsi:type="dcterms:W3CDTF">2026-06-11T01:26:15Z</dcterms:created>
  <dcterms:modified xsi:type="dcterms:W3CDTF">2026-06-11T02:57:11Z</dcterms:modified>
  <cp:category/>
  <cp:contentStatus/>
</cp:coreProperties>
</file>